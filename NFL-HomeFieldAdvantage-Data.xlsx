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06bbdf7cfe90f23/Desktop/"/>
    </mc:Choice>
  </mc:AlternateContent>
  <xr:revisionPtr revIDLastSave="252" documentId="13_ncr:1_{0F0B9994-5F73-4EDB-8BCD-C33F10B45BA3}" xr6:coauthVersionLast="47" xr6:coauthVersionMax="47" xr10:uidLastSave="{BB4413C0-AD7A-4EB4-B005-8383530359F8}"/>
  <bookViews>
    <workbookView xWindow="-120" yWindow="-120" windowWidth="29040" windowHeight="15720" xr2:uid="{619BEED8-D55E-4A0C-98CE-0EA2E3CBB23D}"/>
  </bookViews>
  <sheets>
    <sheet name="HFA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/>
  <c r="A8" i="1"/>
  <c r="A9" i="1"/>
  <c r="A10" i="1"/>
  <c r="A11" i="1"/>
  <c r="A12" i="1"/>
  <c r="A13" i="1"/>
  <c r="A14" i="1"/>
  <c r="A15" i="1"/>
  <c r="A16" i="1"/>
  <c r="A18" i="1"/>
  <c r="A19" i="1"/>
  <c r="A25" i="1"/>
  <c r="A26" i="1"/>
  <c r="A31" i="1"/>
  <c r="A32" i="1"/>
  <c r="A34" i="1"/>
  <c r="A36" i="1"/>
  <c r="A37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6" i="1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D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89" i="2"/>
  <c r="Q90" i="2"/>
  <c r="Q91" i="2"/>
  <c r="Q92" i="2"/>
  <c r="Q93" i="2"/>
  <c r="Q94" i="2"/>
  <c r="Q95" i="2"/>
  <c r="Q96" i="2"/>
  <c r="Q97" i="2"/>
  <c r="Q98" i="2"/>
  <c r="Q99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89" i="2"/>
  <c r="E14" i="1"/>
  <c r="F6" i="1"/>
  <c r="J49" i="2"/>
  <c r="H49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51" i="2"/>
  <c r="L16" i="2"/>
  <c r="L18" i="2"/>
  <c r="O18" i="2" s="1"/>
  <c r="P18" i="2" s="1"/>
  <c r="C8" i="1" s="1"/>
  <c r="L19" i="2"/>
  <c r="L20" i="2"/>
  <c r="L21" i="2"/>
  <c r="O21" i="2" s="1"/>
  <c r="P21" i="2" s="1"/>
  <c r="C11" i="1" s="1"/>
  <c r="L22" i="2"/>
  <c r="L23" i="2"/>
  <c r="O23" i="2" s="1"/>
  <c r="P23" i="2" s="1"/>
  <c r="C13" i="1" s="1"/>
  <c r="L24" i="2"/>
  <c r="L25" i="2"/>
  <c r="L26" i="2"/>
  <c r="O26" i="2" s="1"/>
  <c r="P26" i="2" s="1"/>
  <c r="C16" i="1" s="1"/>
  <c r="L27" i="2"/>
  <c r="L28" i="2"/>
  <c r="L29" i="2"/>
  <c r="L30" i="2"/>
  <c r="L31" i="2"/>
  <c r="L32" i="2"/>
  <c r="L33" i="2"/>
  <c r="L34" i="2"/>
  <c r="O34" i="2" s="1"/>
  <c r="P34" i="2" s="1"/>
  <c r="C24" i="1" s="1"/>
  <c r="L35" i="2"/>
  <c r="L36" i="2"/>
  <c r="O36" i="2" s="1"/>
  <c r="P36" i="2" s="1"/>
  <c r="C26" i="1" s="1"/>
  <c r="L37" i="2"/>
  <c r="O37" i="2" s="1"/>
  <c r="P37" i="2" s="1"/>
  <c r="C27" i="1" s="1"/>
  <c r="L38" i="2"/>
  <c r="L39" i="2"/>
  <c r="O39" i="2" s="1"/>
  <c r="P39" i="2" s="1"/>
  <c r="C29" i="1" s="1"/>
  <c r="L40" i="2"/>
  <c r="O40" i="2" s="1"/>
  <c r="P40" i="2" s="1"/>
  <c r="C30" i="1" s="1"/>
  <c r="L41" i="2"/>
  <c r="L42" i="2"/>
  <c r="O42" i="2" s="1"/>
  <c r="P42" i="2" s="1"/>
  <c r="C32" i="1" s="1"/>
  <c r="L43" i="2"/>
  <c r="L44" i="2"/>
  <c r="L45" i="2"/>
  <c r="L46" i="2"/>
  <c r="L47" i="2"/>
  <c r="H16" i="2"/>
  <c r="O16" i="2" s="1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O33" i="2" s="1"/>
  <c r="P33" i="2" s="1"/>
  <c r="C23" i="1" s="1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T11" i="2"/>
  <c r="D16" i="2"/>
  <c r="N16" i="2" s="1"/>
  <c r="N18" i="2"/>
  <c r="N34" i="2"/>
  <c r="L17" i="2"/>
  <c r="O20" i="2"/>
  <c r="P20" i="2" s="1"/>
  <c r="C10" i="1" s="1"/>
  <c r="O22" i="2"/>
  <c r="P22" i="2" s="1"/>
  <c r="C12" i="1" s="1"/>
  <c r="H17" i="2"/>
  <c r="O17" i="2" s="1"/>
  <c r="D18" i="2"/>
  <c r="D19" i="2"/>
  <c r="N19" i="2" s="1"/>
  <c r="D20" i="2"/>
  <c r="N20" i="2" s="1"/>
  <c r="D21" i="2"/>
  <c r="N21" i="2" s="1"/>
  <c r="D22" i="2"/>
  <c r="N22" i="2" s="1"/>
  <c r="D23" i="2"/>
  <c r="N23" i="2" s="1"/>
  <c r="D24" i="2"/>
  <c r="N24" i="2" s="1"/>
  <c r="D25" i="2"/>
  <c r="N25" i="2" s="1"/>
  <c r="D26" i="2"/>
  <c r="N26" i="2" s="1"/>
  <c r="D27" i="2"/>
  <c r="N27" i="2" s="1"/>
  <c r="D28" i="2"/>
  <c r="N28" i="2" s="1"/>
  <c r="D29" i="2"/>
  <c r="N29" i="2" s="1"/>
  <c r="D30" i="2"/>
  <c r="N30" i="2" s="1"/>
  <c r="D31" i="2"/>
  <c r="N31" i="2" s="1"/>
  <c r="D32" i="2"/>
  <c r="N32" i="2" s="1"/>
  <c r="D33" i="2"/>
  <c r="N33" i="2" s="1"/>
  <c r="D34" i="2"/>
  <c r="D35" i="2"/>
  <c r="N35" i="2" s="1"/>
  <c r="D36" i="2"/>
  <c r="N36" i="2" s="1"/>
  <c r="D37" i="2"/>
  <c r="N37" i="2" s="1"/>
  <c r="D38" i="2"/>
  <c r="N38" i="2" s="1"/>
  <c r="D39" i="2"/>
  <c r="N39" i="2" s="1"/>
  <c r="D40" i="2"/>
  <c r="N40" i="2" s="1"/>
  <c r="D41" i="2"/>
  <c r="N41" i="2" s="1"/>
  <c r="D42" i="2"/>
  <c r="N42" i="2" s="1"/>
  <c r="D43" i="2"/>
  <c r="N43" i="2" s="1"/>
  <c r="D44" i="2"/>
  <c r="N44" i="2" s="1"/>
  <c r="D45" i="2"/>
  <c r="N45" i="2" s="1"/>
  <c r="D46" i="2"/>
  <c r="N46" i="2" s="1"/>
  <c r="D47" i="2"/>
  <c r="N47" i="2" s="1"/>
  <c r="D17" i="2"/>
  <c r="N17" i="2" s="1"/>
  <c r="D9" i="1" l="1"/>
  <c r="F55" i="2"/>
  <c r="E10" i="1" s="1"/>
  <c r="F71" i="2"/>
  <c r="E26" i="1" s="1"/>
  <c r="F54" i="2"/>
  <c r="E9" i="1" s="1"/>
  <c r="F56" i="2"/>
  <c r="E11" i="1" s="1"/>
  <c r="F72" i="2"/>
  <c r="E27" i="1" s="1"/>
  <c r="F57" i="2"/>
  <c r="E12" i="1" s="1"/>
  <c r="F73" i="2"/>
  <c r="E28" i="1" s="1"/>
  <c r="F51" i="2"/>
  <c r="E7" i="1" s="1"/>
  <c r="F58" i="2"/>
  <c r="E13" i="1" s="1"/>
  <c r="F74" i="2"/>
  <c r="E29" i="1" s="1"/>
  <c r="F63" i="2"/>
  <c r="E18" i="1" s="1"/>
  <c r="F69" i="2"/>
  <c r="E24" i="1" s="1"/>
  <c r="F59" i="2"/>
  <c r="F75" i="2"/>
  <c r="E30" i="1" s="1"/>
  <c r="F78" i="2"/>
  <c r="E33" i="1" s="1"/>
  <c r="F53" i="2"/>
  <c r="E8" i="1" s="1"/>
  <c r="F60" i="2"/>
  <c r="E15" i="1" s="1"/>
  <c r="F76" i="2"/>
  <c r="E31" i="1" s="1"/>
  <c r="F64" i="2"/>
  <c r="E19" i="1" s="1"/>
  <c r="F66" i="2"/>
  <c r="E21" i="1" s="1"/>
  <c r="F61" i="2"/>
  <c r="E16" i="1" s="1"/>
  <c r="F77" i="2"/>
  <c r="E32" i="1" s="1"/>
  <c r="F62" i="2"/>
  <c r="E17" i="1" s="1"/>
  <c r="F80" i="2"/>
  <c r="E35" i="1" s="1"/>
  <c r="F81" i="2"/>
  <c r="E36" i="1" s="1"/>
  <c r="F65" i="2"/>
  <c r="E20" i="1" s="1"/>
  <c r="F82" i="2"/>
  <c r="E37" i="1" s="1"/>
  <c r="F79" i="2"/>
  <c r="E34" i="1" s="1"/>
  <c r="F67" i="2"/>
  <c r="E22" i="1" s="1"/>
  <c r="F70" i="2"/>
  <c r="E25" i="1" s="1"/>
  <c r="F52" i="2"/>
  <c r="E6" i="1" s="1"/>
  <c r="F68" i="2"/>
  <c r="E23" i="1" s="1"/>
  <c r="P16" i="2"/>
  <c r="C6" i="1" s="1"/>
  <c r="O24" i="2"/>
  <c r="P24" i="2" s="1"/>
  <c r="C14" i="1" s="1"/>
  <c r="O44" i="2"/>
  <c r="P44" i="2" s="1"/>
  <c r="C34" i="1" s="1"/>
  <c r="O35" i="2"/>
  <c r="P35" i="2" s="1"/>
  <c r="C25" i="1" s="1"/>
  <c r="O25" i="2"/>
  <c r="P25" i="2" s="1"/>
  <c r="C15" i="1" s="1"/>
  <c r="O19" i="2"/>
  <c r="P19" i="2" s="1"/>
  <c r="C9" i="1" s="1"/>
  <c r="D24" i="1"/>
  <c r="D10" i="1"/>
  <c r="D7" i="1"/>
  <c r="D22" i="1"/>
  <c r="D37" i="1"/>
  <c r="D21" i="1"/>
  <c r="D8" i="1"/>
  <c r="D23" i="1"/>
  <c r="D36" i="1"/>
  <c r="D20" i="1"/>
  <c r="D35" i="1"/>
  <c r="D19" i="1"/>
  <c r="D33" i="1"/>
  <c r="D17" i="1"/>
  <c r="O41" i="2"/>
  <c r="P41" i="2" s="1"/>
  <c r="C31" i="1" s="1"/>
  <c r="D18" i="1"/>
  <c r="D30" i="1"/>
  <c r="D14" i="1"/>
  <c r="O38" i="2"/>
  <c r="P38" i="2" s="1"/>
  <c r="C28" i="1" s="1"/>
  <c r="D34" i="1"/>
  <c r="D32" i="1"/>
  <c r="D16" i="1"/>
  <c r="D15" i="1"/>
  <c r="D29" i="1"/>
  <c r="D12" i="1"/>
  <c r="D31" i="1"/>
  <c r="D13" i="1"/>
  <c r="D28" i="1"/>
  <c r="D27" i="1"/>
  <c r="D11" i="1"/>
  <c r="D26" i="1"/>
  <c r="D25" i="1"/>
  <c r="O47" i="2"/>
  <c r="P47" i="2" s="1"/>
  <c r="C37" i="1" s="1"/>
  <c r="O46" i="2"/>
  <c r="P46" i="2" s="1"/>
  <c r="C36" i="1" s="1"/>
  <c r="O28" i="2"/>
  <c r="P28" i="2" s="1"/>
  <c r="C18" i="1" s="1"/>
  <c r="O30" i="2"/>
  <c r="P30" i="2" s="1"/>
  <c r="C20" i="1" s="1"/>
  <c r="O45" i="2"/>
  <c r="P45" i="2" s="1"/>
  <c r="C35" i="1" s="1"/>
  <c r="O27" i="2"/>
  <c r="P27" i="2" s="1"/>
  <c r="C17" i="1" s="1"/>
  <c r="O32" i="2"/>
  <c r="P32" i="2" s="1"/>
  <c r="C22" i="1" s="1"/>
  <c r="O31" i="2"/>
  <c r="P31" i="2" s="1"/>
  <c r="C21" i="1" s="1"/>
  <c r="O29" i="2"/>
  <c r="P29" i="2" s="1"/>
  <c r="C19" i="1" s="1"/>
  <c r="O43" i="2"/>
  <c r="P43" i="2" s="1"/>
  <c r="C33" i="1" s="1"/>
  <c r="P17" i="2"/>
  <c r="C7" i="1" s="1"/>
  <c r="K51" i="2"/>
  <c r="K53" i="2"/>
  <c r="K74" i="2"/>
  <c r="K72" i="2"/>
  <c r="K67" i="2"/>
  <c r="K71" i="2"/>
  <c r="K61" i="2"/>
  <c r="K78" i="2"/>
  <c r="K82" i="2"/>
  <c r="K77" i="2"/>
  <c r="K76" i="2"/>
  <c r="K58" i="2"/>
  <c r="K80" i="2"/>
  <c r="K65" i="2"/>
  <c r="K55" i="2"/>
  <c r="K60" i="2"/>
  <c r="K81" i="2"/>
  <c r="K79" i="2"/>
  <c r="K63" i="2"/>
  <c r="K62" i="2"/>
  <c r="K70" i="2"/>
  <c r="K64" i="2"/>
  <c r="K59" i="2"/>
  <c r="K57" i="2"/>
  <c r="K69" i="2"/>
  <c r="K68" i="2"/>
  <c r="K52" i="2"/>
  <c r="L50" i="2" s="1"/>
  <c r="K75" i="2"/>
  <c r="K54" i="2"/>
  <c r="K73" i="2"/>
  <c r="K56" i="2"/>
  <c r="K66" i="2"/>
  <c r="L57" i="2" l="1"/>
  <c r="L81" i="2"/>
  <c r="L64" i="2"/>
  <c r="L55" i="2"/>
  <c r="L51" i="2"/>
  <c r="L66" i="2"/>
  <c r="L68" i="2"/>
  <c r="L52" i="2"/>
  <c r="L69" i="2"/>
  <c r="L79" i="2"/>
  <c r="L59" i="2"/>
  <c r="L62" i="2"/>
  <c r="L78" i="2"/>
  <c r="L82" i="2"/>
  <c r="L65" i="2"/>
  <c r="L80" i="2"/>
  <c r="L75" i="2"/>
  <c r="L76" i="2"/>
  <c r="L77" i="2"/>
  <c r="L70" i="2"/>
  <c r="L63" i="2"/>
  <c r="L60" i="2"/>
  <c r="L73" i="2"/>
  <c r="L54" i="2"/>
  <c r="L58" i="2"/>
  <c r="L61" i="2"/>
  <c r="L71" i="2"/>
  <c r="L67" i="2"/>
  <c r="L72" i="2"/>
  <c r="L74" i="2"/>
  <c r="L53" i="2"/>
  <c r="L56" i="2"/>
</calcChain>
</file>

<file path=xl/sharedStrings.xml><?xml version="1.0" encoding="utf-8"?>
<sst xmlns="http://schemas.openxmlformats.org/spreadsheetml/2006/main" count="195" uniqueCount="84">
  <si>
    <t>NFL Teams</t>
  </si>
  <si>
    <t>Atlanta Falcons</t>
  </si>
  <si>
    <t>Baltimore Ravens</t>
  </si>
  <si>
    <t>Buffalo Bills</t>
  </si>
  <si>
    <t>Carolina Panthers</t>
  </si>
  <si>
    <t>Chicago Bears</t>
  </si>
  <si>
    <t>Cincinnati Bengals</t>
  </si>
  <si>
    <t>Cleveland Browns</t>
  </si>
  <si>
    <t>Dallas Cowboys</t>
  </si>
  <si>
    <t>Denver Broncos</t>
  </si>
  <si>
    <t>Green Bay Packers</t>
  </si>
  <si>
    <t>Houston Texans</t>
  </si>
  <si>
    <t>Indianapolis Colts</t>
  </si>
  <si>
    <t>Jacksonville Jaguars</t>
  </si>
  <si>
    <t>Kansas City Chiefs</t>
  </si>
  <si>
    <t>Las Vegas Raiders</t>
  </si>
  <si>
    <t>Los Angeles Chargers</t>
  </si>
  <si>
    <t>Los Angeles Rams</t>
  </si>
  <si>
    <t>Miami Dolphins</t>
  </si>
  <si>
    <t>Minnesota Vikings</t>
  </si>
  <si>
    <t>New England Patriots</t>
  </si>
  <si>
    <t>New Orleans Saints</t>
  </si>
  <si>
    <t>New York Jets</t>
  </si>
  <si>
    <t>New York Giants</t>
  </si>
  <si>
    <t>Philadelphia Eagles</t>
  </si>
  <si>
    <t>Pittsburgh Steelers</t>
  </si>
  <si>
    <t>San Francisco 49ers</t>
  </si>
  <si>
    <t>Seattle Seahawks</t>
  </si>
  <si>
    <t>Tampa Bay Buccaneers</t>
  </si>
  <si>
    <t>Tennessee Titans</t>
  </si>
  <si>
    <t>Washington Commanders</t>
  </si>
  <si>
    <t>Wins</t>
  </si>
  <si>
    <t>Losses</t>
  </si>
  <si>
    <t>Ratio</t>
  </si>
  <si>
    <t>Record @ Home since 2002</t>
  </si>
  <si>
    <t>Record @ home 2024</t>
  </si>
  <si>
    <t>Record @ home 2025</t>
  </si>
  <si>
    <t>W</t>
  </si>
  <si>
    <t>L</t>
  </si>
  <si>
    <t xml:space="preserve">Weighted (Past 2 70%,  Since 2002 30%) </t>
  </si>
  <si>
    <t>Since 2002</t>
  </si>
  <si>
    <t>Past 2 Seasons</t>
  </si>
  <si>
    <t>Weight</t>
  </si>
  <si>
    <t>Approximate Altitude (ft) (city)</t>
  </si>
  <si>
    <t>City Elevation</t>
  </si>
  <si>
    <t>NFL Elevation Average</t>
  </si>
  <si>
    <t>Arizona Cardinals</t>
  </si>
  <si>
    <t>Detroit Lions</t>
  </si>
  <si>
    <t>Weighting</t>
  </si>
  <si>
    <t>Record</t>
  </si>
  <si>
    <t>Elevation</t>
  </si>
  <si>
    <t>Crowd Impact</t>
  </si>
  <si>
    <t>Capacity</t>
  </si>
  <si>
    <t>Avg Attendance</t>
  </si>
  <si>
    <t>%</t>
  </si>
  <si>
    <t>NFL Average</t>
  </si>
  <si>
    <t>Impact Zscore</t>
  </si>
  <si>
    <t>SD</t>
  </si>
  <si>
    <t>Normalizing Constant</t>
  </si>
  <si>
    <t>NOISE?</t>
  </si>
  <si>
    <t>Point Advantage</t>
  </si>
  <si>
    <t>Open Air</t>
  </si>
  <si>
    <t>Sept</t>
  </si>
  <si>
    <t>Oct</t>
  </si>
  <si>
    <t>Nov</t>
  </si>
  <si>
    <t>Dec</t>
  </si>
  <si>
    <t>Jan</t>
  </si>
  <si>
    <t>Humid</t>
  </si>
  <si>
    <t>Temp</t>
  </si>
  <si>
    <t>Avg</t>
  </si>
  <si>
    <t>Humidity</t>
  </si>
  <si>
    <t>ARZ</t>
  </si>
  <si>
    <t>GB</t>
  </si>
  <si>
    <t>JAX</t>
  </si>
  <si>
    <t>KC</t>
  </si>
  <si>
    <t>LV</t>
  </si>
  <si>
    <t>LAR</t>
  </si>
  <si>
    <t>LAC</t>
  </si>
  <si>
    <t>NE</t>
  </si>
  <si>
    <t>NO</t>
  </si>
  <si>
    <t>NYG</t>
  </si>
  <si>
    <t>NYJ</t>
  </si>
  <si>
    <t>SF</t>
  </si>
  <si>
    <t>TB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</si>
</sst>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9" fontId="0" fillId="0" borderId="0" xfId="1" applyFont="1"/>
    <xf numFmtId="2" fontId="0" fillId="0" borderId="0" xfId="1" applyNumberFormat="1" applyFont="1"/>
    <xf numFmtId="2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/>
    </xf>
    <xf numFmtId="9" fontId="0" fillId="0" borderId="0" xfId="0" applyNumberFormat="1"/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62528-AC3B-4681-8B5E-DD03BCF861A0}">
  <dimension ref="A4:N37"/>
  <sheetViews>
    <sheetView tabSelected="1" workbookViewId="0">
      <selection activeCell="L10" sqref="L10"/>
    </sheetView>
  </sheetViews>
  <sheetFormatPr defaultRowHeight="15" x14ac:dyDescent="0.25"/>
  <cols>
    <col min="1" max="1" width="20" customWidth="1"/>
    <col min="4" max="4" width="13.42578125" customWidth="1"/>
  </cols>
  <sheetData>
    <row r="4" spans="1:14" x14ac:dyDescent="0.25">
      <c r="B4" s="7" t="s">
        <v>48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5" spans="1:14" x14ac:dyDescent="0.25">
      <c r="C5" t="s">
        <v>49</v>
      </c>
      <c r="D5" t="s">
        <v>50</v>
      </c>
      <c r="E5" t="s">
        <v>51</v>
      </c>
      <c r="F5" s="5" t="s">
        <v>58</v>
      </c>
      <c r="G5" t="s">
        <v>60</v>
      </c>
      <c r="H5" s="5"/>
    </row>
    <row r="6" spans="1:14" x14ac:dyDescent="0.25">
      <c r="A6" t="s">
        <v>71</v>
      </c>
      <c r="B6" t="s">
        <v>46</v>
      </c>
      <c r="C6" s="3">
        <f>Sheet2!P16</f>
        <v>0.45571428571428574</v>
      </c>
      <c r="D6" s="4">
        <f>Sheet2!T16</f>
        <v>0.38729193548387092</v>
      </c>
      <c r="E6" s="3">
        <f>Sheet2!F52</f>
        <v>0.31990555391158448</v>
      </c>
      <c r="F6" s="5">
        <f>2</f>
        <v>2</v>
      </c>
      <c r="G6" s="3">
        <f>SUM(C6:F6)</f>
        <v>3.1629117751097411</v>
      </c>
      <c r="H6" s="5"/>
    </row>
    <row r="7" spans="1:14" x14ac:dyDescent="0.25">
      <c r="A7" t="str">
        <f t="shared" ref="A7:A37" si="0">UPPER(LEFT(B7,3))</f>
        <v>ATL</v>
      </c>
      <c r="B7" t="s">
        <v>1</v>
      </c>
      <c r="C7" s="3">
        <f>Sheet2!P17</f>
        <v>0.53047702152414189</v>
      </c>
      <c r="D7" s="4">
        <f>Sheet2!T17</f>
        <v>0.28089193548387092</v>
      </c>
      <c r="E7" s="3">
        <f>Sheet2!F51</f>
        <v>-0.71647735090572706</v>
      </c>
      <c r="F7" s="5">
        <f>2</f>
        <v>2</v>
      </c>
      <c r="G7" s="3">
        <f t="shared" ref="G7:G37" si="1">SUM(C7:F7)</f>
        <v>2.0948916061022858</v>
      </c>
      <c r="H7" s="5"/>
    </row>
    <row r="8" spans="1:14" x14ac:dyDescent="0.25">
      <c r="A8" t="str">
        <f t="shared" si="0"/>
        <v>BAL</v>
      </c>
      <c r="B8" t="s">
        <v>2</v>
      </c>
      <c r="C8" s="3">
        <f>Sheet2!P18</f>
        <v>0.61454188481675387</v>
      </c>
      <c r="D8" s="4">
        <f>Sheet2!T18</f>
        <v>-0.28960806451612903</v>
      </c>
      <c r="E8" s="3">
        <f>Sheet2!F53</f>
        <v>0.13927534666623365</v>
      </c>
      <c r="F8" s="5">
        <f>2</f>
        <v>2</v>
      </c>
      <c r="G8" s="3">
        <f t="shared" si="1"/>
        <v>2.4642091669668584</v>
      </c>
      <c r="H8" s="5"/>
    </row>
    <row r="9" spans="1:14" x14ac:dyDescent="0.25">
      <c r="A9" t="str">
        <f t="shared" si="0"/>
        <v>BUF</v>
      </c>
      <c r="B9" t="s">
        <v>3</v>
      </c>
      <c r="C9" s="3">
        <f>Sheet2!P19</f>
        <v>0.82135416666666672</v>
      </c>
      <c r="D9" s="4">
        <f>Sheet2!T19</f>
        <v>8.9193548387095226E-4</v>
      </c>
      <c r="E9" s="3">
        <f>Sheet2!F54</f>
        <v>0.23209709319853755</v>
      </c>
      <c r="F9" s="5">
        <f>2</f>
        <v>2</v>
      </c>
      <c r="G9" s="3">
        <f t="shared" si="1"/>
        <v>3.0543431953490749</v>
      </c>
      <c r="H9" s="5"/>
    </row>
    <row r="10" spans="1:14" x14ac:dyDescent="0.25">
      <c r="A10" t="str">
        <f t="shared" si="0"/>
        <v>CAR</v>
      </c>
      <c r="B10" t="s">
        <v>4</v>
      </c>
      <c r="C10" s="3">
        <f>Sheet2!P20</f>
        <v>0.48059336823734727</v>
      </c>
      <c r="D10" s="4">
        <f>Sheet2!T20</f>
        <v>5.1991935483870946E-2</v>
      </c>
      <c r="E10" s="3">
        <f>Sheet2!F55</f>
        <v>0.44463002838461474</v>
      </c>
      <c r="F10" s="5">
        <f>2</f>
        <v>2</v>
      </c>
      <c r="G10" s="3">
        <f t="shared" si="1"/>
        <v>2.9772153321058328</v>
      </c>
      <c r="H10" s="5"/>
    </row>
    <row r="11" spans="1:14" x14ac:dyDescent="0.25">
      <c r="A11" t="str">
        <f t="shared" si="0"/>
        <v>CHI</v>
      </c>
      <c r="B11" t="s">
        <v>5</v>
      </c>
      <c r="C11" s="3">
        <f>Sheet2!P21</f>
        <v>0.5743713450292397</v>
      </c>
      <c r="D11" s="4">
        <f>Sheet2!T21</f>
        <v>-1.2080645161290477E-3</v>
      </c>
      <c r="E11" s="3">
        <f>Sheet2!F56</f>
        <v>-1.6430237209556806</v>
      </c>
      <c r="F11" s="5">
        <f>2</f>
        <v>2</v>
      </c>
      <c r="G11" s="3">
        <f t="shared" si="1"/>
        <v>0.93013955955743</v>
      </c>
      <c r="H11" s="5"/>
    </row>
    <row r="12" spans="1:14" x14ac:dyDescent="0.25">
      <c r="A12" t="str">
        <f t="shared" si="0"/>
        <v>CIN</v>
      </c>
      <c r="B12" t="s">
        <v>6</v>
      </c>
      <c r="C12" s="3">
        <f>Sheet2!P22</f>
        <v>0.43649064171122992</v>
      </c>
      <c r="D12" s="4">
        <f>Sheet2!T22</f>
        <v>0.10029193548387096</v>
      </c>
      <c r="E12" s="3">
        <f>Sheet2!F57</f>
        <v>-0.49756387013150455</v>
      </c>
      <c r="F12" s="5">
        <f>2</f>
        <v>2</v>
      </c>
      <c r="G12" s="3">
        <f t="shared" si="1"/>
        <v>2.0392187070635965</v>
      </c>
      <c r="H12" s="5"/>
    </row>
    <row r="13" spans="1:14" x14ac:dyDescent="0.25">
      <c r="A13" t="str">
        <f t="shared" si="0"/>
        <v>CLE</v>
      </c>
      <c r="B13" t="s">
        <v>7</v>
      </c>
      <c r="C13" s="3">
        <f>Sheet2!P23</f>
        <v>0.35697368421052633</v>
      </c>
      <c r="D13" s="4">
        <f>Sheet2!T23</f>
        <v>3.7991935483870955E-2</v>
      </c>
      <c r="E13" s="3">
        <f>Sheet2!F58</f>
        <v>-0.80762800216494524</v>
      </c>
      <c r="F13" s="5">
        <f>2</f>
        <v>2</v>
      </c>
      <c r="G13" s="3">
        <f t="shared" si="1"/>
        <v>1.587337617529452</v>
      </c>
      <c r="H13" s="5"/>
    </row>
    <row r="14" spans="1:14" x14ac:dyDescent="0.25">
      <c r="A14" t="str">
        <f t="shared" si="0"/>
        <v>DAL</v>
      </c>
      <c r="B14" t="s">
        <v>8</v>
      </c>
      <c r="C14" s="3">
        <f>Sheet2!P24</f>
        <v>0.4904761904761904</v>
      </c>
      <c r="D14" s="4">
        <f>Sheet2!T24</f>
        <v>-8.1008064516129047E-2</v>
      </c>
      <c r="E14" s="3">
        <f>Sheet2!F59</f>
        <v>3.5707935310716032</v>
      </c>
      <c r="F14" s="5">
        <f>2</f>
        <v>2</v>
      </c>
      <c r="G14" s="3">
        <f t="shared" si="1"/>
        <v>5.9802616570316651</v>
      </c>
      <c r="H14" s="5"/>
    </row>
    <row r="15" spans="1:14" x14ac:dyDescent="0.25">
      <c r="A15" t="str">
        <f t="shared" si="0"/>
        <v>DEN</v>
      </c>
      <c r="B15" t="s">
        <v>9</v>
      </c>
      <c r="C15" s="3">
        <f>Sheet2!P25</f>
        <v>0.79999999999999993</v>
      </c>
      <c r="D15" s="4">
        <f>Sheet2!T25</f>
        <v>3.2768919354838708</v>
      </c>
      <c r="E15" s="3">
        <f>Sheet2!F60</f>
        <v>0.90190246220169301</v>
      </c>
      <c r="F15" s="5">
        <f>2</f>
        <v>2</v>
      </c>
      <c r="G15" s="3">
        <f t="shared" si="1"/>
        <v>6.9787943976855633</v>
      </c>
      <c r="H15" s="5"/>
    </row>
    <row r="16" spans="1:14" x14ac:dyDescent="0.25">
      <c r="A16" t="str">
        <f t="shared" si="0"/>
        <v>DET</v>
      </c>
      <c r="B16" t="s">
        <v>47</v>
      </c>
      <c r="C16" s="3">
        <f>Sheet2!P26</f>
        <v>0.67524853801169582</v>
      </c>
      <c r="D16" s="4">
        <f>Sheet2!T26</f>
        <v>4.0091935483870945E-2</v>
      </c>
      <c r="E16" s="3">
        <f>Sheet2!F61</f>
        <v>-0.73622665867855763</v>
      </c>
      <c r="F16" s="5">
        <f>2</f>
        <v>2</v>
      </c>
      <c r="G16" s="3">
        <f t="shared" si="1"/>
        <v>1.9791138148170091</v>
      </c>
      <c r="H16" s="5"/>
    </row>
    <row r="17" spans="1:8" x14ac:dyDescent="0.25">
      <c r="A17" t="s">
        <v>72</v>
      </c>
      <c r="B17" t="s">
        <v>10</v>
      </c>
      <c r="C17" s="3">
        <f>Sheet2!P27</f>
        <v>0.65761904761904755</v>
      </c>
      <c r="D17" s="4">
        <f>Sheet2!T27</f>
        <v>-1.2408064516129046E-2</v>
      </c>
      <c r="E17" s="3">
        <f>Sheet2!F62</f>
        <v>1.2821525957047317</v>
      </c>
      <c r="F17" s="5">
        <f>2</f>
        <v>2</v>
      </c>
      <c r="G17" s="3">
        <f t="shared" si="1"/>
        <v>3.9273635788076504</v>
      </c>
      <c r="H17" s="5"/>
    </row>
    <row r="18" spans="1:8" x14ac:dyDescent="0.25">
      <c r="A18" t="str">
        <f t="shared" si="0"/>
        <v>HOU</v>
      </c>
      <c r="B18" t="s">
        <v>11</v>
      </c>
      <c r="C18" s="3">
        <f>Sheet2!P28</f>
        <v>0.57874999999999999</v>
      </c>
      <c r="D18" s="4">
        <f>Sheet2!T28</f>
        <v>-0.34560806451612902</v>
      </c>
      <c r="E18" s="3">
        <f>Sheet2!F63</f>
        <v>0.20779025286274602</v>
      </c>
      <c r="F18" s="5">
        <f>2</f>
        <v>2</v>
      </c>
      <c r="G18" s="3">
        <f t="shared" si="1"/>
        <v>2.4409321883466171</v>
      </c>
      <c r="H18" s="5"/>
    </row>
    <row r="19" spans="1:8" x14ac:dyDescent="0.25">
      <c r="A19" t="str">
        <f t="shared" si="0"/>
        <v>IND</v>
      </c>
      <c r="B19" t="s">
        <v>12</v>
      </c>
      <c r="C19" s="3">
        <f>Sheet2!P29</f>
        <v>0.76718750000000002</v>
      </c>
      <c r="D19" s="4">
        <f>Sheet2!T29</f>
        <v>8.4191935483870953E-2</v>
      </c>
      <c r="E19" s="3">
        <f>Sheet2!F64</f>
        <v>-0.68229585668352022</v>
      </c>
      <c r="F19" s="5">
        <f>2</f>
        <v>2</v>
      </c>
      <c r="G19" s="3">
        <f t="shared" si="1"/>
        <v>2.1690835788003509</v>
      </c>
      <c r="H19" s="5"/>
    </row>
    <row r="20" spans="1:8" x14ac:dyDescent="0.25">
      <c r="A20" t="s">
        <v>73</v>
      </c>
      <c r="B20" t="s">
        <v>13</v>
      </c>
      <c r="C20" s="3">
        <f>Sheet2!P30</f>
        <v>0.50364583333333324</v>
      </c>
      <c r="D20" s="4">
        <f>Sheet2!T30</f>
        <v>-0.41700806451612898</v>
      </c>
      <c r="E20" s="3">
        <f>Sheet2!F65</f>
        <v>-0.58111863378578787</v>
      </c>
      <c r="F20" s="5">
        <f>2</f>
        <v>2</v>
      </c>
      <c r="G20" s="3">
        <f t="shared" si="1"/>
        <v>1.5055191350314163</v>
      </c>
      <c r="H20" s="5"/>
    </row>
    <row r="21" spans="1:8" x14ac:dyDescent="0.25">
      <c r="A21" t="s">
        <v>74</v>
      </c>
      <c r="B21" t="s">
        <v>14</v>
      </c>
      <c r="C21" s="3">
        <f>Sheet2!P31</f>
        <v>0.82476439790575917</v>
      </c>
      <c r="D21" s="4">
        <f>Sheet2!T31</f>
        <v>0.21719193548387095</v>
      </c>
      <c r="E21" s="3">
        <f>Sheet2!F66</f>
        <v>0.64060392859193405</v>
      </c>
      <c r="F21" s="5">
        <f>2</f>
        <v>2</v>
      </c>
      <c r="G21" s="3">
        <f t="shared" si="1"/>
        <v>3.6825602619815641</v>
      </c>
      <c r="H21" s="5"/>
    </row>
    <row r="22" spans="1:8" x14ac:dyDescent="0.25">
      <c r="A22" t="s">
        <v>75</v>
      </c>
      <c r="B22" t="s">
        <v>15</v>
      </c>
      <c r="C22" s="3">
        <f>Sheet2!P32</f>
        <v>0.30289473684210522</v>
      </c>
      <c r="D22" s="4">
        <f>Sheet2!T32</f>
        <v>0.98089193548387088</v>
      </c>
      <c r="E22" s="3">
        <f>Sheet2!F67</f>
        <v>-1.0595076351445851</v>
      </c>
      <c r="F22" s="5">
        <f>2</f>
        <v>2</v>
      </c>
      <c r="G22" s="3">
        <f t="shared" si="1"/>
        <v>2.224279037181391</v>
      </c>
      <c r="H22" s="5"/>
    </row>
    <row r="23" spans="1:8" x14ac:dyDescent="0.25">
      <c r="A23" t="s">
        <v>77</v>
      </c>
      <c r="B23" t="s">
        <v>16</v>
      </c>
      <c r="C23" s="3">
        <f>Sheet2!P33</f>
        <v>0.62552083333333319</v>
      </c>
      <c r="D23" s="4">
        <f>Sheet2!T33</f>
        <v>-0.20560806451612906</v>
      </c>
      <c r="E23" s="3">
        <f>Sheet2!F68</f>
        <v>0.28648364844987112</v>
      </c>
      <c r="F23" s="5">
        <f>2</f>
        <v>2</v>
      </c>
      <c r="G23" s="3">
        <f t="shared" si="1"/>
        <v>2.7063964172670754</v>
      </c>
      <c r="H23" s="5"/>
    </row>
    <row r="24" spans="1:8" x14ac:dyDescent="0.25">
      <c r="A24" t="s">
        <v>76</v>
      </c>
      <c r="B24" t="s">
        <v>17</v>
      </c>
      <c r="C24" s="3">
        <f>Sheet2!P34</f>
        <v>0.62837114601512511</v>
      </c>
      <c r="D24" s="4">
        <f>Sheet2!T34</f>
        <v>-0.20560806451612906</v>
      </c>
      <c r="E24" s="3">
        <f>Sheet2!F69</f>
        <v>0.51375260558952196</v>
      </c>
      <c r="F24" s="5">
        <f>2</f>
        <v>2</v>
      </c>
      <c r="G24" s="3">
        <f t="shared" si="1"/>
        <v>2.9365156870885181</v>
      </c>
      <c r="H24" s="5"/>
    </row>
    <row r="25" spans="1:8" x14ac:dyDescent="0.25">
      <c r="A25" t="str">
        <f t="shared" si="0"/>
        <v>MIA</v>
      </c>
      <c r="B25" t="s">
        <v>18</v>
      </c>
      <c r="C25" s="3">
        <f>Sheet2!P35</f>
        <v>0.55781250000000004</v>
      </c>
      <c r="D25" s="4">
        <f>Sheet2!T35</f>
        <v>-0.41490806451612899</v>
      </c>
      <c r="E25" s="3">
        <f>Sheet2!F70</f>
        <v>-0.53250495311420487</v>
      </c>
      <c r="F25" s="5">
        <f>2</f>
        <v>2</v>
      </c>
      <c r="G25" s="3">
        <f t="shared" si="1"/>
        <v>1.6103994823696661</v>
      </c>
      <c r="H25" s="5"/>
    </row>
    <row r="26" spans="1:8" x14ac:dyDescent="0.25">
      <c r="A26" t="str">
        <f t="shared" si="0"/>
        <v>MIN</v>
      </c>
      <c r="B26" t="s">
        <v>19</v>
      </c>
      <c r="C26" s="3">
        <f>Sheet2!P36</f>
        <v>0.57116346713205346</v>
      </c>
      <c r="D26" s="4">
        <f>Sheet2!T36</f>
        <v>0.14299193548387096</v>
      </c>
      <c r="E26" s="3">
        <f>Sheet2!F71</f>
        <v>-0.3729913134105729</v>
      </c>
      <c r="F26" s="5">
        <f>2</f>
        <v>2</v>
      </c>
      <c r="G26" s="3">
        <f t="shared" si="1"/>
        <v>2.3411640892053516</v>
      </c>
      <c r="H26" s="5"/>
    </row>
    <row r="27" spans="1:8" x14ac:dyDescent="0.25">
      <c r="A27" t="s">
        <v>78</v>
      </c>
      <c r="B27" t="s">
        <v>20</v>
      </c>
      <c r="C27" s="3">
        <f>Sheet2!P37</f>
        <v>0.54114583333333333</v>
      </c>
      <c r="D27" s="4">
        <f>Sheet2!T37</f>
        <v>-0.21960806451612902</v>
      </c>
      <c r="E27" s="3">
        <f>Sheet2!F72</f>
        <v>-0.71647735090572706</v>
      </c>
      <c r="F27" s="5">
        <f>2</f>
        <v>2</v>
      </c>
      <c r="G27" s="3">
        <f t="shared" si="1"/>
        <v>1.6050604179114774</v>
      </c>
      <c r="H27" s="5"/>
    </row>
    <row r="28" spans="1:8" x14ac:dyDescent="0.25">
      <c r="A28" t="s">
        <v>79</v>
      </c>
      <c r="B28" t="s">
        <v>21</v>
      </c>
      <c r="C28" s="3">
        <f>Sheet2!P38</f>
        <v>0.35787085514834205</v>
      </c>
      <c r="D28" s="4">
        <f>Sheet2!T38</f>
        <v>-0.41455806451612903</v>
      </c>
      <c r="E28" s="3">
        <f>Sheet2!F73</f>
        <v>0.10479001693982939</v>
      </c>
      <c r="F28" s="5">
        <f>2</f>
        <v>2</v>
      </c>
      <c r="G28" s="3">
        <f t="shared" si="1"/>
        <v>2.0481028075720422</v>
      </c>
      <c r="H28" s="5"/>
    </row>
    <row r="29" spans="1:8" x14ac:dyDescent="0.25">
      <c r="A29" t="s">
        <v>80</v>
      </c>
      <c r="B29" t="s">
        <v>23</v>
      </c>
      <c r="C29" s="3">
        <f>Sheet2!P39</f>
        <v>0.3194152046783626</v>
      </c>
      <c r="D29" s="4">
        <f>Sheet2!T39</f>
        <v>-0.41700806451612898</v>
      </c>
      <c r="E29" s="3">
        <f>Sheet2!F74</f>
        <v>1.9195994835108647</v>
      </c>
      <c r="F29" s="5">
        <f>2</f>
        <v>2</v>
      </c>
      <c r="G29" s="3">
        <f t="shared" si="1"/>
        <v>3.8220066236730981</v>
      </c>
      <c r="H29" s="5"/>
    </row>
    <row r="30" spans="1:8" x14ac:dyDescent="0.25">
      <c r="A30" t="s">
        <v>81</v>
      </c>
      <c r="B30" t="s">
        <v>22</v>
      </c>
      <c r="C30" s="3">
        <f>Sheet2!P40</f>
        <v>0.33177083333333329</v>
      </c>
      <c r="D30" s="4">
        <f>Sheet2!T40</f>
        <v>-0.41700806451612898</v>
      </c>
      <c r="E30" s="3">
        <f>Sheet2!F75</f>
        <v>0.87668411535330926</v>
      </c>
      <c r="F30" s="5">
        <f>2</f>
        <v>2</v>
      </c>
      <c r="G30" s="3">
        <f t="shared" si="1"/>
        <v>2.7914468841705133</v>
      </c>
      <c r="H30" s="5"/>
    </row>
    <row r="31" spans="1:8" x14ac:dyDescent="0.25">
      <c r="A31" t="str">
        <f t="shared" si="0"/>
        <v>PHI</v>
      </c>
      <c r="B31" t="s">
        <v>24</v>
      </c>
      <c r="C31" s="3">
        <f>Sheet2!P41</f>
        <v>0.77900584795321626</v>
      </c>
      <c r="D31" s="4">
        <f>Sheet2!T41</f>
        <v>-0.39180806451612904</v>
      </c>
      <c r="E31" s="3">
        <f>Sheet2!F76</f>
        <v>8.1242765364531344E-2</v>
      </c>
      <c r="F31" s="5">
        <f>2</f>
        <v>2</v>
      </c>
      <c r="G31" s="3">
        <f t="shared" si="1"/>
        <v>2.4684405488016186</v>
      </c>
      <c r="H31" s="5"/>
    </row>
    <row r="32" spans="1:8" x14ac:dyDescent="0.25">
      <c r="A32" t="str">
        <f t="shared" si="0"/>
        <v>PIT</v>
      </c>
      <c r="B32" t="s">
        <v>25</v>
      </c>
      <c r="C32" s="3">
        <f>Sheet2!P42</f>
        <v>0.66208333333333325</v>
      </c>
      <c r="D32" s="4">
        <f>Sheet2!T42</f>
        <v>9.8891935483870944E-2</v>
      </c>
      <c r="E32" s="3">
        <f>Sheet2!F77</f>
        <v>-0.20952781215237487</v>
      </c>
      <c r="F32" s="5">
        <f>2</f>
        <v>2</v>
      </c>
      <c r="G32" s="3">
        <f t="shared" si="1"/>
        <v>2.5514474566648291</v>
      </c>
      <c r="H32" s="5"/>
    </row>
    <row r="33" spans="1:8" x14ac:dyDescent="0.25">
      <c r="A33" t="s">
        <v>82</v>
      </c>
      <c r="B33" t="s">
        <v>26</v>
      </c>
      <c r="C33" s="3">
        <f>Sheet2!P43</f>
        <v>0.49246031746031743</v>
      </c>
      <c r="D33" s="4">
        <f>Sheet2!T43</f>
        <v>-0.38270806451612904</v>
      </c>
      <c r="E33" s="3">
        <f>Sheet2!F78</f>
        <v>0.22738764288347793</v>
      </c>
      <c r="F33" s="5">
        <f>2</f>
        <v>2</v>
      </c>
      <c r="G33" s="3">
        <f t="shared" si="1"/>
        <v>2.3371398958276663</v>
      </c>
      <c r="H33" s="5"/>
    </row>
    <row r="34" spans="1:8" x14ac:dyDescent="0.25">
      <c r="A34" t="str">
        <f t="shared" si="0"/>
        <v>SEA</v>
      </c>
      <c r="B34" t="s">
        <v>27</v>
      </c>
      <c r="C34" s="3">
        <f>Sheet2!P44</f>
        <v>0.52300174520069809</v>
      </c>
      <c r="D34" s="4">
        <f>Sheet2!T44</f>
        <v>-0.31760806451612905</v>
      </c>
      <c r="E34" s="3">
        <f>Sheet2!F79</f>
        <v>-9.7564428855635113E-2</v>
      </c>
      <c r="F34" s="5">
        <f>2</f>
        <v>2</v>
      </c>
      <c r="G34" s="3">
        <f t="shared" si="1"/>
        <v>2.1078292518289339</v>
      </c>
      <c r="H34" s="5"/>
    </row>
    <row r="35" spans="1:8" x14ac:dyDescent="0.25">
      <c r="A35" t="s">
        <v>83</v>
      </c>
      <c r="B35" t="s">
        <v>28</v>
      </c>
      <c r="C35" s="3">
        <f>Sheet2!P45</f>
        <v>0.51628654970760235</v>
      </c>
      <c r="D35" s="4">
        <f>Sheet2!T45</f>
        <v>-0.38550806451612907</v>
      </c>
      <c r="E35" s="3">
        <f>Sheet2!F80</f>
        <v>-0.85381099880294919</v>
      </c>
      <c r="F35" s="5">
        <f>2</f>
        <v>2</v>
      </c>
      <c r="G35" s="3">
        <f t="shared" si="1"/>
        <v>1.2769674863885241</v>
      </c>
      <c r="H35" s="5"/>
    </row>
    <row r="36" spans="1:8" x14ac:dyDescent="0.25">
      <c r="A36" t="str">
        <f t="shared" si="0"/>
        <v>TEN</v>
      </c>
      <c r="B36" t="s">
        <v>29</v>
      </c>
      <c r="C36" s="3">
        <f>Sheet2!P46</f>
        <v>0.40767670157068059</v>
      </c>
      <c r="D36" s="4">
        <f>Sheet2!T46</f>
        <v>-3.1308064516129046E-2</v>
      </c>
      <c r="E36" s="3">
        <f>Sheet2!F81</f>
        <v>-1.4976384321972274</v>
      </c>
      <c r="F36" s="5">
        <f>2</f>
        <v>2</v>
      </c>
      <c r="G36" s="3">
        <f t="shared" si="1"/>
        <v>0.87873020485732423</v>
      </c>
      <c r="H36" s="5"/>
    </row>
    <row r="37" spans="1:8" x14ac:dyDescent="0.25">
      <c r="A37" t="str">
        <f t="shared" si="0"/>
        <v>WAS</v>
      </c>
      <c r="B37" t="s">
        <v>30</v>
      </c>
      <c r="C37" s="3">
        <f>Sheet2!P47</f>
        <v>0.54573007562536358</v>
      </c>
      <c r="D37" s="4">
        <f>Sheet2!T47</f>
        <v>-0.36310806451612904</v>
      </c>
      <c r="E37" s="3">
        <f>Sheet2!F82</f>
        <v>-0.74473405279608473</v>
      </c>
      <c r="F37" s="5">
        <f>2</f>
        <v>2</v>
      </c>
      <c r="G37" s="3">
        <f t="shared" si="1"/>
        <v>1.4378879583131499</v>
      </c>
      <c r="H37" s="5"/>
    </row>
  </sheetData>
  <sortState xmlns:xlrd2="http://schemas.microsoft.com/office/spreadsheetml/2017/richdata2" ref="B6:I37">
    <sortCondition ref="B6:B37"/>
  </sortState>
  <mergeCells count="1">
    <mergeCell ref="B4:N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952BA-E64C-4F7B-A5B9-CF0CCED8B419}">
  <dimension ref="A11:Y120"/>
  <sheetViews>
    <sheetView topLeftCell="A19" workbookViewId="0">
      <selection activeCell="Y16" sqref="Y16"/>
    </sheetView>
  </sheetViews>
  <sheetFormatPr defaultRowHeight="15" x14ac:dyDescent="0.25"/>
  <cols>
    <col min="1" max="1" width="19.85546875" customWidth="1"/>
    <col min="2" max="2" width="13.5703125" customWidth="1"/>
    <col min="14" max="14" width="10" customWidth="1"/>
    <col min="15" max="15" width="14.28515625" customWidth="1"/>
    <col min="19" max="19" width="19.7109375" customWidth="1"/>
  </cols>
  <sheetData>
    <row r="11" spans="1:21" x14ac:dyDescent="0.25">
      <c r="S11" t="s">
        <v>45</v>
      </c>
      <c r="T11">
        <f>AVERAGE(S17:S47)</f>
        <v>598.72580645161293</v>
      </c>
    </row>
    <row r="14" spans="1:21" x14ac:dyDescent="0.25">
      <c r="B14" s="7" t="s">
        <v>34</v>
      </c>
      <c r="C14" s="7"/>
      <c r="D14" s="7"/>
      <c r="F14" s="7" t="s">
        <v>35</v>
      </c>
      <c r="G14" s="7"/>
      <c r="H14" s="7"/>
      <c r="J14" s="7" t="s">
        <v>36</v>
      </c>
      <c r="K14" s="7"/>
      <c r="L14" s="7"/>
      <c r="N14" s="7" t="s">
        <v>39</v>
      </c>
      <c r="O14" s="7"/>
      <c r="P14" s="7"/>
      <c r="Q14" s="7"/>
      <c r="S14" s="7" t="s">
        <v>43</v>
      </c>
      <c r="T14" s="7"/>
      <c r="U14" s="7"/>
    </row>
    <row r="15" spans="1:21" x14ac:dyDescent="0.25">
      <c r="A15" t="s">
        <v>0</v>
      </c>
      <c r="B15" t="s">
        <v>31</v>
      </c>
      <c r="C15" t="s">
        <v>32</v>
      </c>
      <c r="D15" t="s">
        <v>33</v>
      </c>
      <c r="F15" t="s">
        <v>31</v>
      </c>
      <c r="G15" t="s">
        <v>32</v>
      </c>
      <c r="H15" t="s">
        <v>33</v>
      </c>
      <c r="J15" t="s">
        <v>37</v>
      </c>
      <c r="K15" t="s">
        <v>38</v>
      </c>
      <c r="L15" t="s">
        <v>33</v>
      </c>
      <c r="N15" t="s">
        <v>40</v>
      </c>
      <c r="O15" t="s">
        <v>41</v>
      </c>
      <c r="P15" t="s">
        <v>42</v>
      </c>
      <c r="S15" t="s">
        <v>44</v>
      </c>
      <c r="T15" t="s">
        <v>48</v>
      </c>
    </row>
    <row r="16" spans="1:21" x14ac:dyDescent="0.25">
      <c r="A16" t="s">
        <v>46</v>
      </c>
      <c r="B16">
        <v>96</v>
      </c>
      <c r="C16">
        <v>93</v>
      </c>
      <c r="D16" s="1">
        <f>B16/(B16+C16)</f>
        <v>0.50793650793650791</v>
      </c>
      <c r="F16">
        <v>6</v>
      </c>
      <c r="G16">
        <v>3</v>
      </c>
      <c r="H16" s="2">
        <f>F16/(F16+G16)</f>
        <v>0.66666666666666663</v>
      </c>
      <c r="J16">
        <v>1</v>
      </c>
      <c r="K16">
        <v>4</v>
      </c>
      <c r="L16" s="2">
        <f>J16/(J16+K16)</f>
        <v>0.2</v>
      </c>
      <c r="N16" s="3">
        <f>D16*0.3</f>
        <v>0.15238095238095237</v>
      </c>
      <c r="O16" s="2">
        <f>((H16+L16)/2)*0.7</f>
        <v>0.30333333333333334</v>
      </c>
      <c r="P16" s="3">
        <f>N16+O16</f>
        <v>0.45571428571428574</v>
      </c>
      <c r="S16">
        <v>1152</v>
      </c>
      <c r="T16">
        <f>((S16-$T$11)/1000)*0.7</f>
        <v>0.38729193548387092</v>
      </c>
    </row>
    <row r="17" spans="1:20" x14ac:dyDescent="0.25">
      <c r="A17" t="s">
        <v>1</v>
      </c>
      <c r="B17">
        <v>105</v>
      </c>
      <c r="C17">
        <v>86</v>
      </c>
      <c r="D17" s="1">
        <f>B17/(B17+C17)</f>
        <v>0.54973821989528793</v>
      </c>
      <c r="F17">
        <v>4</v>
      </c>
      <c r="G17">
        <v>5</v>
      </c>
      <c r="H17" s="2">
        <f>F17/(F17+G17)</f>
        <v>0.44444444444444442</v>
      </c>
      <c r="J17">
        <v>3</v>
      </c>
      <c r="K17">
        <v>2</v>
      </c>
      <c r="L17" s="2">
        <f>J17/(J17+K17)</f>
        <v>0.6</v>
      </c>
      <c r="N17" s="3">
        <f>D17*0.3</f>
        <v>0.16492146596858637</v>
      </c>
      <c r="O17" s="2">
        <f>((H17+L17)/2)*0.7</f>
        <v>0.36555555555555547</v>
      </c>
      <c r="P17" s="3">
        <f>N17+O17</f>
        <v>0.53047702152414189</v>
      </c>
      <c r="S17">
        <v>1000</v>
      </c>
      <c r="T17">
        <f t="shared" ref="T17:T47" si="0">((S17-$T$11)/1000)*0.7</f>
        <v>0.28089193548387092</v>
      </c>
    </row>
    <row r="18" spans="1:20" x14ac:dyDescent="0.25">
      <c r="A18" t="s">
        <v>2</v>
      </c>
      <c r="B18">
        <v>135</v>
      </c>
      <c r="C18">
        <v>56</v>
      </c>
      <c r="D18" s="1">
        <f t="shared" ref="D18:D47" si="1">B18/(B18+C18)</f>
        <v>0.70680628272251311</v>
      </c>
      <c r="F18">
        <v>6</v>
      </c>
      <c r="G18">
        <v>2</v>
      </c>
      <c r="H18" s="2">
        <f t="shared" ref="H18:H47" si="2">F18/(F18+G18)</f>
        <v>0.75</v>
      </c>
      <c r="J18">
        <v>2</v>
      </c>
      <c r="K18">
        <v>3</v>
      </c>
      <c r="L18" s="2">
        <f t="shared" ref="L18:L47" si="3">J18/(J18+K18)</f>
        <v>0.4</v>
      </c>
      <c r="N18" s="3">
        <f t="shared" ref="N18:N47" si="4">D18*0.3</f>
        <v>0.21204188481675393</v>
      </c>
      <c r="O18" s="2">
        <f t="shared" ref="O18:O47" si="5">((H18+L18)/2)*0.7</f>
        <v>0.40249999999999997</v>
      </c>
      <c r="P18" s="3">
        <f t="shared" ref="P18:P47" si="6">N18+O18</f>
        <v>0.61454188481675387</v>
      </c>
      <c r="S18">
        <v>185</v>
      </c>
      <c r="T18">
        <f t="shared" si="0"/>
        <v>-0.28960806451612903</v>
      </c>
    </row>
    <row r="19" spans="1:20" x14ac:dyDescent="0.25">
      <c r="A19" t="s">
        <v>3</v>
      </c>
      <c r="B19">
        <v>115</v>
      </c>
      <c r="C19">
        <v>77</v>
      </c>
      <c r="D19" s="1">
        <f t="shared" si="1"/>
        <v>0.59895833333333337</v>
      </c>
      <c r="F19">
        <v>8</v>
      </c>
      <c r="G19">
        <v>0</v>
      </c>
      <c r="H19" s="2">
        <f t="shared" si="2"/>
        <v>1</v>
      </c>
      <c r="J19">
        <v>5</v>
      </c>
      <c r="K19">
        <v>1</v>
      </c>
      <c r="L19" s="2">
        <f t="shared" si="3"/>
        <v>0.83333333333333337</v>
      </c>
      <c r="N19" s="3">
        <f t="shared" si="4"/>
        <v>0.1796875</v>
      </c>
      <c r="O19" s="2">
        <f t="shared" si="5"/>
        <v>0.64166666666666672</v>
      </c>
      <c r="P19" s="3">
        <f t="shared" si="6"/>
        <v>0.82135416666666672</v>
      </c>
      <c r="S19">
        <v>600</v>
      </c>
      <c r="T19">
        <f t="shared" si="0"/>
        <v>8.9193548387095226E-4</v>
      </c>
    </row>
    <row r="20" spans="1:20" x14ac:dyDescent="0.25">
      <c r="A20" t="s">
        <v>4</v>
      </c>
      <c r="B20">
        <v>98</v>
      </c>
      <c r="C20">
        <v>93</v>
      </c>
      <c r="D20" s="1">
        <f t="shared" si="1"/>
        <v>0.51308900523560208</v>
      </c>
      <c r="F20">
        <v>3</v>
      </c>
      <c r="G20">
        <v>6</v>
      </c>
      <c r="H20" s="2">
        <f t="shared" si="2"/>
        <v>0.33333333333333331</v>
      </c>
      <c r="J20">
        <v>3</v>
      </c>
      <c r="K20">
        <v>2</v>
      </c>
      <c r="L20" s="2">
        <f t="shared" si="3"/>
        <v>0.6</v>
      </c>
      <c r="N20" s="3">
        <f t="shared" si="4"/>
        <v>0.15392670157068061</v>
      </c>
      <c r="O20" s="2">
        <f t="shared" si="5"/>
        <v>0.32666666666666666</v>
      </c>
      <c r="P20" s="3">
        <f t="shared" si="6"/>
        <v>0.48059336823734727</v>
      </c>
      <c r="S20">
        <v>673</v>
      </c>
      <c r="T20">
        <f t="shared" si="0"/>
        <v>5.1991935483870946E-2</v>
      </c>
    </row>
    <row r="21" spans="1:20" x14ac:dyDescent="0.25">
      <c r="A21" t="s">
        <v>5</v>
      </c>
      <c r="B21">
        <v>99</v>
      </c>
      <c r="C21">
        <v>91</v>
      </c>
      <c r="D21" s="1">
        <f t="shared" si="1"/>
        <v>0.52105263157894732</v>
      </c>
      <c r="F21">
        <v>4</v>
      </c>
      <c r="G21">
        <v>5</v>
      </c>
      <c r="H21" s="2">
        <f t="shared" si="2"/>
        <v>0.44444444444444442</v>
      </c>
      <c r="J21">
        <v>3</v>
      </c>
      <c r="K21">
        <v>1</v>
      </c>
      <c r="L21" s="2">
        <f t="shared" si="3"/>
        <v>0.75</v>
      </c>
      <c r="N21" s="3">
        <f t="shared" si="4"/>
        <v>0.15631578947368419</v>
      </c>
      <c r="O21" s="2">
        <f t="shared" si="5"/>
        <v>0.41805555555555551</v>
      </c>
      <c r="P21" s="3">
        <f t="shared" si="6"/>
        <v>0.5743713450292397</v>
      </c>
      <c r="S21">
        <v>597</v>
      </c>
      <c r="T21">
        <f t="shared" si="0"/>
        <v>-1.2080645161290477E-3</v>
      </c>
    </row>
    <row r="22" spans="1:20" x14ac:dyDescent="0.25">
      <c r="A22" t="s">
        <v>6</v>
      </c>
      <c r="B22">
        <v>103</v>
      </c>
      <c r="C22">
        <v>84</v>
      </c>
      <c r="D22" s="1">
        <f t="shared" si="1"/>
        <v>0.55080213903743314</v>
      </c>
      <c r="F22">
        <v>3</v>
      </c>
      <c r="G22">
        <v>5</v>
      </c>
      <c r="H22" s="2">
        <f t="shared" si="2"/>
        <v>0.375</v>
      </c>
      <c r="J22">
        <v>2</v>
      </c>
      <c r="K22">
        <v>3</v>
      </c>
      <c r="L22" s="2">
        <f t="shared" si="3"/>
        <v>0.4</v>
      </c>
      <c r="N22" s="3">
        <f t="shared" si="4"/>
        <v>0.16524064171122993</v>
      </c>
      <c r="O22" s="2">
        <f t="shared" si="5"/>
        <v>0.27124999999999999</v>
      </c>
      <c r="P22" s="3">
        <f t="shared" si="6"/>
        <v>0.43649064171122992</v>
      </c>
      <c r="S22">
        <v>742</v>
      </c>
      <c r="T22">
        <f t="shared" si="0"/>
        <v>0.10029193548387096</v>
      </c>
    </row>
    <row r="23" spans="1:20" x14ac:dyDescent="0.25">
      <c r="A23" t="s">
        <v>7</v>
      </c>
      <c r="B23">
        <v>82</v>
      </c>
      <c r="C23">
        <v>108</v>
      </c>
      <c r="D23" s="1">
        <f t="shared" si="1"/>
        <v>0.43157894736842106</v>
      </c>
      <c r="F23">
        <v>2</v>
      </c>
      <c r="G23">
        <v>6</v>
      </c>
      <c r="H23" s="2">
        <f t="shared" si="2"/>
        <v>0.25</v>
      </c>
      <c r="J23">
        <v>2</v>
      </c>
      <c r="K23">
        <v>3</v>
      </c>
      <c r="L23" s="2">
        <f t="shared" si="3"/>
        <v>0.4</v>
      </c>
      <c r="N23" s="3">
        <f t="shared" si="4"/>
        <v>0.12947368421052632</v>
      </c>
      <c r="O23" s="2">
        <f t="shared" si="5"/>
        <v>0.22749999999999998</v>
      </c>
      <c r="P23" s="3">
        <f t="shared" si="6"/>
        <v>0.35697368421052633</v>
      </c>
      <c r="S23">
        <v>653</v>
      </c>
      <c r="T23">
        <f t="shared" si="0"/>
        <v>3.7991935483870955E-2</v>
      </c>
    </row>
    <row r="24" spans="1:20" x14ac:dyDescent="0.25">
      <c r="A24" t="s">
        <v>8</v>
      </c>
      <c r="B24">
        <v>113</v>
      </c>
      <c r="C24">
        <v>76</v>
      </c>
      <c r="D24" s="1">
        <f t="shared" si="1"/>
        <v>0.59788359788359791</v>
      </c>
      <c r="F24">
        <v>2</v>
      </c>
      <c r="G24">
        <v>7</v>
      </c>
      <c r="H24" s="2">
        <f t="shared" si="2"/>
        <v>0.22222222222222221</v>
      </c>
      <c r="J24">
        <v>2</v>
      </c>
      <c r="K24">
        <v>1</v>
      </c>
      <c r="L24" s="2">
        <f t="shared" si="3"/>
        <v>0.66666666666666663</v>
      </c>
      <c r="N24" s="3">
        <f t="shared" si="4"/>
        <v>0.17936507936507937</v>
      </c>
      <c r="O24" s="2">
        <f t="shared" si="5"/>
        <v>0.31111111111111106</v>
      </c>
      <c r="P24" s="3">
        <f t="shared" si="6"/>
        <v>0.4904761904761904</v>
      </c>
      <c r="S24">
        <v>483</v>
      </c>
      <c r="T24">
        <f t="shared" si="0"/>
        <v>-8.1008064516129047E-2</v>
      </c>
    </row>
    <row r="25" spans="1:20" x14ac:dyDescent="0.25">
      <c r="A25" t="s">
        <v>9</v>
      </c>
      <c r="B25">
        <v>120</v>
      </c>
      <c r="C25">
        <v>72</v>
      </c>
      <c r="D25" s="1">
        <f t="shared" si="1"/>
        <v>0.625</v>
      </c>
      <c r="F25">
        <v>6</v>
      </c>
      <c r="G25">
        <v>2</v>
      </c>
      <c r="H25" s="2">
        <f t="shared" si="2"/>
        <v>0.75</v>
      </c>
      <c r="J25">
        <v>6</v>
      </c>
      <c r="K25">
        <v>0</v>
      </c>
      <c r="L25" s="2">
        <f t="shared" si="3"/>
        <v>1</v>
      </c>
      <c r="N25" s="3">
        <f t="shared" si="4"/>
        <v>0.1875</v>
      </c>
      <c r="O25" s="2">
        <f t="shared" si="5"/>
        <v>0.61249999999999993</v>
      </c>
      <c r="P25" s="3">
        <f t="shared" si="6"/>
        <v>0.79999999999999993</v>
      </c>
      <c r="S25">
        <v>5280</v>
      </c>
      <c r="T25">
        <f t="shared" si="0"/>
        <v>3.2768919354838708</v>
      </c>
    </row>
    <row r="26" spans="1:20" x14ac:dyDescent="0.25">
      <c r="A26" t="s">
        <v>47</v>
      </c>
      <c r="B26">
        <v>89</v>
      </c>
      <c r="C26">
        <v>101</v>
      </c>
      <c r="D26" s="1">
        <f t="shared" si="1"/>
        <v>0.46842105263157896</v>
      </c>
      <c r="F26">
        <v>7</v>
      </c>
      <c r="G26">
        <v>2</v>
      </c>
      <c r="H26" s="2">
        <f t="shared" si="2"/>
        <v>0.77777777777777779</v>
      </c>
      <c r="J26">
        <v>3</v>
      </c>
      <c r="K26">
        <v>1</v>
      </c>
      <c r="L26" s="2">
        <f t="shared" si="3"/>
        <v>0.75</v>
      </c>
      <c r="N26" s="3">
        <f t="shared" si="4"/>
        <v>0.14052631578947369</v>
      </c>
      <c r="O26" s="2">
        <f t="shared" si="5"/>
        <v>0.5347222222222221</v>
      </c>
      <c r="P26" s="3">
        <f t="shared" si="6"/>
        <v>0.67524853801169582</v>
      </c>
      <c r="S26">
        <v>656</v>
      </c>
      <c r="T26">
        <f t="shared" si="0"/>
        <v>4.0091935483870945E-2</v>
      </c>
    </row>
    <row r="27" spans="1:20" x14ac:dyDescent="0.25">
      <c r="A27" t="s">
        <v>10</v>
      </c>
      <c r="B27">
        <v>135</v>
      </c>
      <c r="C27">
        <v>54</v>
      </c>
      <c r="D27" s="1">
        <f t="shared" si="1"/>
        <v>0.7142857142857143</v>
      </c>
      <c r="F27">
        <v>6</v>
      </c>
      <c r="G27">
        <v>3</v>
      </c>
      <c r="H27" s="2">
        <f t="shared" si="2"/>
        <v>0.66666666666666663</v>
      </c>
      <c r="J27">
        <v>3</v>
      </c>
      <c r="K27">
        <v>2</v>
      </c>
      <c r="L27" s="2">
        <f t="shared" si="3"/>
        <v>0.6</v>
      </c>
      <c r="N27" s="3">
        <f t="shared" si="4"/>
        <v>0.21428571428571427</v>
      </c>
      <c r="O27" s="2">
        <f t="shared" si="5"/>
        <v>0.4433333333333333</v>
      </c>
      <c r="P27" s="3">
        <f t="shared" si="6"/>
        <v>0.65761904761904755</v>
      </c>
      <c r="S27">
        <v>581</v>
      </c>
      <c r="T27">
        <f t="shared" si="0"/>
        <v>-1.2408064516129046E-2</v>
      </c>
    </row>
    <row r="28" spans="1:20" x14ac:dyDescent="0.25">
      <c r="A28" t="s">
        <v>11</v>
      </c>
      <c r="B28">
        <v>95</v>
      </c>
      <c r="C28">
        <v>95</v>
      </c>
      <c r="D28" s="1">
        <f t="shared" si="1"/>
        <v>0.5</v>
      </c>
      <c r="F28">
        <v>5</v>
      </c>
      <c r="G28">
        <v>3</v>
      </c>
      <c r="H28" s="2">
        <f t="shared" si="2"/>
        <v>0.625</v>
      </c>
      <c r="J28">
        <v>3</v>
      </c>
      <c r="K28">
        <v>2</v>
      </c>
      <c r="L28" s="2">
        <f t="shared" si="3"/>
        <v>0.6</v>
      </c>
      <c r="N28" s="3">
        <f t="shared" si="4"/>
        <v>0.15</v>
      </c>
      <c r="O28" s="2">
        <f t="shared" si="5"/>
        <v>0.42875000000000002</v>
      </c>
      <c r="P28" s="3">
        <f t="shared" si="6"/>
        <v>0.57874999999999999</v>
      </c>
      <c r="S28">
        <v>105</v>
      </c>
      <c r="T28">
        <f t="shared" si="0"/>
        <v>-0.34560806451612902</v>
      </c>
    </row>
    <row r="29" spans="1:20" x14ac:dyDescent="0.25">
      <c r="A29" t="s">
        <v>12</v>
      </c>
      <c r="B29">
        <v>127</v>
      </c>
      <c r="C29">
        <v>65</v>
      </c>
      <c r="D29" s="1">
        <f t="shared" si="1"/>
        <v>0.66145833333333337</v>
      </c>
      <c r="F29">
        <v>5</v>
      </c>
      <c r="G29">
        <v>3</v>
      </c>
      <c r="H29" s="2">
        <f t="shared" si="2"/>
        <v>0.625</v>
      </c>
      <c r="J29">
        <v>6</v>
      </c>
      <c r="K29">
        <v>0</v>
      </c>
      <c r="L29" s="2">
        <f t="shared" si="3"/>
        <v>1</v>
      </c>
      <c r="N29" s="3">
        <f t="shared" si="4"/>
        <v>0.19843750000000002</v>
      </c>
      <c r="O29" s="2">
        <f t="shared" si="5"/>
        <v>0.56874999999999998</v>
      </c>
      <c r="P29" s="3">
        <f t="shared" si="6"/>
        <v>0.76718750000000002</v>
      </c>
      <c r="S29">
        <v>719</v>
      </c>
      <c r="T29">
        <f t="shared" si="0"/>
        <v>8.4191935483870953E-2</v>
      </c>
    </row>
    <row r="30" spans="1:20" x14ac:dyDescent="0.25">
      <c r="A30" t="s">
        <v>13</v>
      </c>
      <c r="B30">
        <v>89</v>
      </c>
      <c r="C30">
        <v>103</v>
      </c>
      <c r="D30" s="1">
        <f t="shared" si="1"/>
        <v>0.46354166666666669</v>
      </c>
      <c r="F30">
        <v>3</v>
      </c>
      <c r="G30">
        <v>5</v>
      </c>
      <c r="H30" s="2">
        <f t="shared" si="2"/>
        <v>0.375</v>
      </c>
      <c r="J30">
        <v>4</v>
      </c>
      <c r="K30">
        <v>2</v>
      </c>
      <c r="L30" s="2">
        <f t="shared" si="3"/>
        <v>0.66666666666666663</v>
      </c>
      <c r="N30" s="3">
        <f t="shared" si="4"/>
        <v>0.13906250000000001</v>
      </c>
      <c r="O30" s="2">
        <f t="shared" si="5"/>
        <v>0.36458333333333326</v>
      </c>
      <c r="P30" s="3">
        <f t="shared" si="6"/>
        <v>0.50364583333333324</v>
      </c>
      <c r="S30">
        <v>3</v>
      </c>
      <c r="T30">
        <f t="shared" si="0"/>
        <v>-0.41700806451612898</v>
      </c>
    </row>
    <row r="31" spans="1:20" x14ac:dyDescent="0.25">
      <c r="A31" t="s">
        <v>14</v>
      </c>
      <c r="B31">
        <v>124</v>
      </c>
      <c r="C31">
        <v>67</v>
      </c>
      <c r="D31" s="1">
        <f t="shared" si="1"/>
        <v>0.64921465968586389</v>
      </c>
      <c r="F31">
        <v>8</v>
      </c>
      <c r="G31">
        <v>0</v>
      </c>
      <c r="H31" s="2">
        <f t="shared" si="2"/>
        <v>1</v>
      </c>
      <c r="J31">
        <v>4</v>
      </c>
      <c r="K31">
        <v>1</v>
      </c>
      <c r="L31" s="2">
        <f t="shared" si="3"/>
        <v>0.8</v>
      </c>
      <c r="N31" s="3">
        <f t="shared" si="4"/>
        <v>0.19476439790575917</v>
      </c>
      <c r="O31" s="2">
        <f t="shared" si="5"/>
        <v>0.63</v>
      </c>
      <c r="P31" s="3">
        <f t="shared" si="6"/>
        <v>0.82476439790575917</v>
      </c>
      <c r="S31">
        <v>909</v>
      </c>
      <c r="T31">
        <f t="shared" si="0"/>
        <v>0.21719193548387095</v>
      </c>
    </row>
    <row r="32" spans="1:20" x14ac:dyDescent="0.25">
      <c r="A32" t="s">
        <v>15</v>
      </c>
      <c r="B32">
        <v>81</v>
      </c>
      <c r="C32">
        <v>109</v>
      </c>
      <c r="D32" s="1">
        <f t="shared" si="1"/>
        <v>0.4263157894736842</v>
      </c>
      <c r="F32">
        <v>2</v>
      </c>
      <c r="G32">
        <v>6</v>
      </c>
      <c r="H32" s="2">
        <f t="shared" si="2"/>
        <v>0.25</v>
      </c>
      <c r="J32">
        <v>1</v>
      </c>
      <c r="K32">
        <v>3</v>
      </c>
      <c r="L32" s="2">
        <f t="shared" si="3"/>
        <v>0.25</v>
      </c>
      <c r="N32" s="3">
        <f t="shared" si="4"/>
        <v>0.12789473684210526</v>
      </c>
      <c r="O32" s="2">
        <f t="shared" si="5"/>
        <v>0.17499999999999999</v>
      </c>
      <c r="P32" s="3">
        <f t="shared" si="6"/>
        <v>0.30289473684210522</v>
      </c>
      <c r="S32">
        <v>2000</v>
      </c>
      <c r="T32">
        <f t="shared" si="0"/>
        <v>0.98089193548387088</v>
      </c>
    </row>
    <row r="33" spans="1:20" x14ac:dyDescent="0.25">
      <c r="A33" t="s">
        <v>16</v>
      </c>
      <c r="B33">
        <v>111</v>
      </c>
      <c r="C33">
        <v>81</v>
      </c>
      <c r="D33" s="1">
        <f t="shared" si="1"/>
        <v>0.578125</v>
      </c>
      <c r="F33">
        <v>5</v>
      </c>
      <c r="G33">
        <v>3</v>
      </c>
      <c r="H33" s="2">
        <f t="shared" si="2"/>
        <v>0.625</v>
      </c>
      <c r="J33">
        <v>4</v>
      </c>
      <c r="K33">
        <v>2</v>
      </c>
      <c r="L33" s="2">
        <f t="shared" si="3"/>
        <v>0.66666666666666663</v>
      </c>
      <c r="N33" s="3">
        <f t="shared" si="4"/>
        <v>0.17343749999999999</v>
      </c>
      <c r="O33" s="2">
        <f t="shared" si="5"/>
        <v>0.45208333333333323</v>
      </c>
      <c r="P33" s="3">
        <f t="shared" si="6"/>
        <v>0.62552083333333319</v>
      </c>
      <c r="S33">
        <v>305</v>
      </c>
      <c r="T33">
        <f t="shared" si="0"/>
        <v>-0.20560806451612906</v>
      </c>
    </row>
    <row r="34" spans="1:20" x14ac:dyDescent="0.25">
      <c r="A34" t="s">
        <v>17</v>
      </c>
      <c r="B34">
        <v>98</v>
      </c>
      <c r="C34">
        <v>93</v>
      </c>
      <c r="D34" s="1">
        <f t="shared" si="1"/>
        <v>0.51308900523560208</v>
      </c>
      <c r="F34">
        <v>5</v>
      </c>
      <c r="G34">
        <v>4</v>
      </c>
      <c r="H34" s="2">
        <f t="shared" si="2"/>
        <v>0.55555555555555558</v>
      </c>
      <c r="J34">
        <v>4</v>
      </c>
      <c r="K34">
        <v>1</v>
      </c>
      <c r="L34" s="2">
        <f t="shared" si="3"/>
        <v>0.8</v>
      </c>
      <c r="N34" s="3">
        <f t="shared" si="4"/>
        <v>0.15392670157068061</v>
      </c>
      <c r="O34" s="2">
        <f t="shared" si="5"/>
        <v>0.47444444444444445</v>
      </c>
      <c r="P34" s="3">
        <f t="shared" si="6"/>
        <v>0.62837114601512511</v>
      </c>
      <c r="S34">
        <v>305</v>
      </c>
      <c r="T34">
        <f t="shared" si="0"/>
        <v>-0.20560806451612906</v>
      </c>
    </row>
    <row r="35" spans="1:20" x14ac:dyDescent="0.25">
      <c r="A35" t="s">
        <v>18</v>
      </c>
      <c r="B35">
        <v>105</v>
      </c>
      <c r="C35">
        <v>87</v>
      </c>
      <c r="D35" s="1">
        <f t="shared" si="1"/>
        <v>0.546875</v>
      </c>
      <c r="F35">
        <v>5</v>
      </c>
      <c r="G35">
        <v>3</v>
      </c>
      <c r="H35" s="2">
        <f t="shared" si="2"/>
        <v>0.625</v>
      </c>
      <c r="J35">
        <v>3</v>
      </c>
      <c r="K35">
        <v>3</v>
      </c>
      <c r="L35" s="2">
        <f t="shared" si="3"/>
        <v>0.5</v>
      </c>
      <c r="N35" s="3">
        <f t="shared" si="4"/>
        <v>0.1640625</v>
      </c>
      <c r="O35" s="2">
        <f t="shared" si="5"/>
        <v>0.39374999999999999</v>
      </c>
      <c r="P35" s="3">
        <f t="shared" si="6"/>
        <v>0.55781250000000004</v>
      </c>
      <c r="S35">
        <v>6</v>
      </c>
      <c r="T35">
        <f t="shared" si="0"/>
        <v>-0.41490806451612899</v>
      </c>
    </row>
    <row r="36" spans="1:20" x14ac:dyDescent="0.25">
      <c r="A36" t="s">
        <v>19</v>
      </c>
      <c r="B36">
        <v>121</v>
      </c>
      <c r="C36">
        <v>70</v>
      </c>
      <c r="D36" s="1">
        <f t="shared" si="1"/>
        <v>0.63350785340314131</v>
      </c>
      <c r="F36">
        <v>8</v>
      </c>
      <c r="G36">
        <v>1</v>
      </c>
      <c r="H36" s="2">
        <f t="shared" si="2"/>
        <v>0.88888888888888884</v>
      </c>
      <c r="J36">
        <v>1</v>
      </c>
      <c r="K36">
        <v>4</v>
      </c>
      <c r="L36" s="2">
        <f t="shared" si="3"/>
        <v>0.2</v>
      </c>
      <c r="N36" s="3">
        <f t="shared" si="4"/>
        <v>0.19005235602094239</v>
      </c>
      <c r="O36" s="2">
        <f t="shared" si="5"/>
        <v>0.38111111111111107</v>
      </c>
      <c r="P36" s="3">
        <f t="shared" si="6"/>
        <v>0.57116346713205346</v>
      </c>
      <c r="S36">
        <v>803</v>
      </c>
      <c r="T36">
        <f t="shared" si="0"/>
        <v>0.14299193548387096</v>
      </c>
    </row>
    <row r="37" spans="1:20" x14ac:dyDescent="0.25">
      <c r="A37" t="s">
        <v>20</v>
      </c>
      <c r="B37">
        <v>141</v>
      </c>
      <c r="C37">
        <v>51</v>
      </c>
      <c r="D37" s="1">
        <f t="shared" si="1"/>
        <v>0.734375</v>
      </c>
      <c r="F37">
        <v>2</v>
      </c>
      <c r="G37">
        <v>6</v>
      </c>
      <c r="H37" s="2">
        <f t="shared" si="2"/>
        <v>0.25</v>
      </c>
      <c r="J37">
        <v>4</v>
      </c>
      <c r="K37">
        <v>2</v>
      </c>
      <c r="L37" s="2">
        <f t="shared" si="3"/>
        <v>0.66666666666666663</v>
      </c>
      <c r="N37" s="3">
        <f t="shared" si="4"/>
        <v>0.22031249999999999</v>
      </c>
      <c r="O37" s="2">
        <f t="shared" si="5"/>
        <v>0.3208333333333333</v>
      </c>
      <c r="P37" s="3">
        <f t="shared" si="6"/>
        <v>0.54114583333333333</v>
      </c>
      <c r="S37">
        <v>285</v>
      </c>
      <c r="T37">
        <f t="shared" si="0"/>
        <v>-0.21960806451612902</v>
      </c>
    </row>
    <row r="38" spans="1:20" x14ac:dyDescent="0.25">
      <c r="A38" t="s">
        <v>21</v>
      </c>
      <c r="B38">
        <v>109</v>
      </c>
      <c r="C38">
        <v>82</v>
      </c>
      <c r="D38" s="1">
        <f t="shared" si="1"/>
        <v>0.5706806282722513</v>
      </c>
      <c r="F38">
        <v>3</v>
      </c>
      <c r="G38">
        <v>6</v>
      </c>
      <c r="H38" s="2">
        <f t="shared" si="2"/>
        <v>0.33333333333333331</v>
      </c>
      <c r="J38">
        <v>1</v>
      </c>
      <c r="K38">
        <v>4</v>
      </c>
      <c r="L38" s="2">
        <f t="shared" si="3"/>
        <v>0.2</v>
      </c>
      <c r="N38" s="3">
        <f t="shared" si="4"/>
        <v>0.17120418848167537</v>
      </c>
      <c r="O38" s="2">
        <f t="shared" si="5"/>
        <v>0.18666666666666665</v>
      </c>
      <c r="P38" s="3">
        <f t="shared" si="6"/>
        <v>0.35787085514834205</v>
      </c>
      <c r="S38">
        <v>6.5</v>
      </c>
      <c r="T38">
        <f t="shared" si="0"/>
        <v>-0.41455806451612903</v>
      </c>
    </row>
    <row r="39" spans="1:20" x14ac:dyDescent="0.25">
      <c r="A39" t="s">
        <v>23</v>
      </c>
      <c r="B39">
        <v>89</v>
      </c>
      <c r="C39">
        <v>101</v>
      </c>
      <c r="D39" s="1">
        <f t="shared" si="1"/>
        <v>0.46842105263157896</v>
      </c>
      <c r="F39">
        <v>1</v>
      </c>
      <c r="G39">
        <v>8</v>
      </c>
      <c r="H39" s="2">
        <f t="shared" si="2"/>
        <v>0.1111111111111111</v>
      </c>
      <c r="J39">
        <v>2</v>
      </c>
      <c r="K39">
        <v>3</v>
      </c>
      <c r="L39" s="2">
        <f t="shared" si="3"/>
        <v>0.4</v>
      </c>
      <c r="N39" s="3">
        <f t="shared" si="4"/>
        <v>0.14052631578947369</v>
      </c>
      <c r="O39" s="2">
        <f t="shared" si="5"/>
        <v>0.17888888888888888</v>
      </c>
      <c r="P39" s="3">
        <f t="shared" si="6"/>
        <v>0.3194152046783626</v>
      </c>
      <c r="S39">
        <v>3</v>
      </c>
      <c r="T39">
        <f t="shared" si="0"/>
        <v>-0.41700806451612898</v>
      </c>
    </row>
    <row r="40" spans="1:20" x14ac:dyDescent="0.25">
      <c r="A40" t="s">
        <v>22</v>
      </c>
      <c r="B40">
        <v>91</v>
      </c>
      <c r="C40">
        <v>101</v>
      </c>
      <c r="D40" s="1">
        <f t="shared" si="1"/>
        <v>0.47395833333333331</v>
      </c>
      <c r="F40">
        <v>3</v>
      </c>
      <c r="G40">
        <v>5</v>
      </c>
      <c r="H40" s="2">
        <f t="shared" si="2"/>
        <v>0.375</v>
      </c>
      <c r="J40">
        <v>1</v>
      </c>
      <c r="K40">
        <v>5</v>
      </c>
      <c r="L40" s="2">
        <f t="shared" si="3"/>
        <v>0.16666666666666666</v>
      </c>
      <c r="N40" s="3">
        <f t="shared" si="4"/>
        <v>0.14218749999999999</v>
      </c>
      <c r="O40" s="2">
        <f t="shared" si="5"/>
        <v>0.1895833333333333</v>
      </c>
      <c r="P40" s="3">
        <f t="shared" si="6"/>
        <v>0.33177083333333329</v>
      </c>
      <c r="S40">
        <v>3</v>
      </c>
      <c r="T40">
        <f t="shared" si="0"/>
        <v>-0.41700806451612898</v>
      </c>
    </row>
    <row r="41" spans="1:20" x14ac:dyDescent="0.25">
      <c r="A41" t="s">
        <v>24</v>
      </c>
      <c r="B41">
        <v>119</v>
      </c>
      <c r="C41">
        <v>71</v>
      </c>
      <c r="D41" s="1">
        <f t="shared" si="1"/>
        <v>0.62631578947368416</v>
      </c>
      <c r="F41">
        <v>8</v>
      </c>
      <c r="G41">
        <v>1</v>
      </c>
      <c r="H41" s="2">
        <f t="shared" si="2"/>
        <v>0.88888888888888884</v>
      </c>
      <c r="J41">
        <v>4</v>
      </c>
      <c r="K41">
        <v>1</v>
      </c>
      <c r="L41" s="2">
        <f t="shared" si="3"/>
        <v>0.8</v>
      </c>
      <c r="N41" s="3">
        <f t="shared" si="4"/>
        <v>0.18789473684210525</v>
      </c>
      <c r="O41" s="2">
        <f t="shared" si="5"/>
        <v>0.59111111111111103</v>
      </c>
      <c r="P41" s="3">
        <f t="shared" si="6"/>
        <v>0.77900584795321626</v>
      </c>
      <c r="S41">
        <v>39</v>
      </c>
      <c r="T41">
        <f t="shared" si="0"/>
        <v>-0.39180806451612904</v>
      </c>
    </row>
    <row r="42" spans="1:20" x14ac:dyDescent="0.25">
      <c r="A42" t="s">
        <v>25</v>
      </c>
      <c r="B42">
        <v>133</v>
      </c>
      <c r="C42">
        <v>57</v>
      </c>
      <c r="D42" s="1">
        <f t="shared" si="1"/>
        <v>0.7</v>
      </c>
      <c r="F42">
        <v>5</v>
      </c>
      <c r="G42">
        <v>3</v>
      </c>
      <c r="H42" s="2">
        <f t="shared" si="2"/>
        <v>0.625</v>
      </c>
      <c r="J42">
        <v>4</v>
      </c>
      <c r="K42">
        <v>2</v>
      </c>
      <c r="L42" s="2">
        <f t="shared" si="3"/>
        <v>0.66666666666666663</v>
      </c>
      <c r="N42" s="3">
        <f t="shared" si="4"/>
        <v>0.21</v>
      </c>
      <c r="O42" s="2">
        <f t="shared" si="5"/>
        <v>0.45208333333333323</v>
      </c>
      <c r="P42" s="3">
        <f t="shared" si="6"/>
        <v>0.66208333333333325</v>
      </c>
      <c r="S42">
        <v>740</v>
      </c>
      <c r="T42">
        <f t="shared" si="0"/>
        <v>9.8891935483870944E-2</v>
      </c>
    </row>
    <row r="43" spans="1:20" x14ac:dyDescent="0.25">
      <c r="A43" t="s">
        <v>26</v>
      </c>
      <c r="B43">
        <v>102</v>
      </c>
      <c r="C43">
        <v>87</v>
      </c>
      <c r="D43" s="1">
        <f t="shared" si="1"/>
        <v>0.53968253968253965</v>
      </c>
      <c r="F43">
        <v>4</v>
      </c>
      <c r="G43">
        <v>5</v>
      </c>
      <c r="H43" s="2">
        <f t="shared" si="2"/>
        <v>0.44444444444444442</v>
      </c>
      <c r="J43">
        <v>2</v>
      </c>
      <c r="K43">
        <v>2</v>
      </c>
      <c r="L43" s="2">
        <f t="shared" si="3"/>
        <v>0.5</v>
      </c>
      <c r="N43" s="3">
        <f t="shared" si="4"/>
        <v>0.16190476190476188</v>
      </c>
      <c r="O43" s="2">
        <f t="shared" si="5"/>
        <v>0.33055555555555555</v>
      </c>
      <c r="P43" s="3">
        <f t="shared" si="6"/>
        <v>0.49246031746031743</v>
      </c>
      <c r="S43">
        <v>52</v>
      </c>
      <c r="T43">
        <f t="shared" si="0"/>
        <v>-0.38270806451612904</v>
      </c>
    </row>
    <row r="44" spans="1:20" x14ac:dyDescent="0.25">
      <c r="A44" t="s">
        <v>27</v>
      </c>
      <c r="B44">
        <v>125</v>
      </c>
      <c r="C44">
        <v>66</v>
      </c>
      <c r="D44" s="1">
        <f t="shared" si="1"/>
        <v>0.65445026178010468</v>
      </c>
      <c r="F44">
        <v>3</v>
      </c>
      <c r="G44">
        <v>6</v>
      </c>
      <c r="H44" s="2">
        <f t="shared" si="2"/>
        <v>0.33333333333333331</v>
      </c>
      <c r="J44">
        <v>3</v>
      </c>
      <c r="K44">
        <v>2</v>
      </c>
      <c r="L44" s="2">
        <f t="shared" si="3"/>
        <v>0.6</v>
      </c>
      <c r="N44" s="3">
        <f t="shared" si="4"/>
        <v>0.1963350785340314</v>
      </c>
      <c r="O44" s="2">
        <f t="shared" si="5"/>
        <v>0.32666666666666666</v>
      </c>
      <c r="P44" s="3">
        <f t="shared" si="6"/>
        <v>0.52300174520069809</v>
      </c>
      <c r="S44">
        <v>145</v>
      </c>
      <c r="T44">
        <f t="shared" si="0"/>
        <v>-0.31760806451612905</v>
      </c>
    </row>
    <row r="45" spans="1:20" x14ac:dyDescent="0.25">
      <c r="A45" t="s">
        <v>28</v>
      </c>
      <c r="B45">
        <v>93</v>
      </c>
      <c r="C45">
        <v>97</v>
      </c>
      <c r="D45" s="1">
        <f t="shared" si="1"/>
        <v>0.48947368421052634</v>
      </c>
      <c r="F45">
        <v>5</v>
      </c>
      <c r="G45">
        <v>4</v>
      </c>
      <c r="H45" s="2">
        <f t="shared" si="2"/>
        <v>0.55555555555555558</v>
      </c>
      <c r="J45">
        <v>2</v>
      </c>
      <c r="K45">
        <v>2</v>
      </c>
      <c r="L45" s="2">
        <f t="shared" si="3"/>
        <v>0.5</v>
      </c>
      <c r="N45" s="3">
        <f t="shared" si="4"/>
        <v>0.14684210526315788</v>
      </c>
      <c r="O45" s="2">
        <f t="shared" si="5"/>
        <v>0.36944444444444441</v>
      </c>
      <c r="P45" s="3">
        <f t="shared" si="6"/>
        <v>0.51628654970760235</v>
      </c>
      <c r="S45">
        <v>48</v>
      </c>
      <c r="T45">
        <f t="shared" si="0"/>
        <v>-0.38550806451612907</v>
      </c>
    </row>
    <row r="46" spans="1:20" x14ac:dyDescent="0.25">
      <c r="A46" t="s">
        <v>29</v>
      </c>
      <c r="B46">
        <v>98</v>
      </c>
      <c r="C46">
        <v>93</v>
      </c>
      <c r="D46" s="1">
        <f t="shared" si="1"/>
        <v>0.51308900523560208</v>
      </c>
      <c r="F46">
        <v>1</v>
      </c>
      <c r="G46">
        <v>7</v>
      </c>
      <c r="H46" s="2">
        <f t="shared" si="2"/>
        <v>0.125</v>
      </c>
      <c r="J46">
        <v>3</v>
      </c>
      <c r="K46">
        <v>2</v>
      </c>
      <c r="L46" s="2">
        <f t="shared" si="3"/>
        <v>0.6</v>
      </c>
      <c r="N46" s="3">
        <f t="shared" si="4"/>
        <v>0.15392670157068061</v>
      </c>
      <c r="O46" s="2">
        <f t="shared" si="5"/>
        <v>0.25374999999999998</v>
      </c>
      <c r="P46" s="3">
        <f t="shared" si="6"/>
        <v>0.40767670157068059</v>
      </c>
      <c r="S46">
        <v>554</v>
      </c>
      <c r="T46">
        <f t="shared" si="0"/>
        <v>-3.1308064516129046E-2</v>
      </c>
    </row>
    <row r="47" spans="1:20" x14ac:dyDescent="0.25">
      <c r="A47" t="s">
        <v>30</v>
      </c>
      <c r="B47">
        <v>85</v>
      </c>
      <c r="C47">
        <v>106</v>
      </c>
      <c r="D47" s="1">
        <f t="shared" si="1"/>
        <v>0.44502617801047123</v>
      </c>
      <c r="F47">
        <v>7</v>
      </c>
      <c r="G47">
        <v>2</v>
      </c>
      <c r="H47" s="2">
        <f t="shared" si="2"/>
        <v>0.77777777777777779</v>
      </c>
      <c r="J47">
        <v>2</v>
      </c>
      <c r="K47">
        <v>3</v>
      </c>
      <c r="L47" s="2">
        <f t="shared" si="3"/>
        <v>0.4</v>
      </c>
      <c r="N47" s="3">
        <f t="shared" si="4"/>
        <v>0.13350785340314136</v>
      </c>
      <c r="O47" s="2">
        <f t="shared" si="5"/>
        <v>0.41222222222222221</v>
      </c>
      <c r="P47" s="3">
        <f t="shared" si="6"/>
        <v>0.54573007562536358</v>
      </c>
      <c r="S47">
        <v>80</v>
      </c>
      <c r="T47">
        <f t="shared" si="0"/>
        <v>-0.36310806451612904</v>
      </c>
    </row>
    <row r="49" spans="1:25" x14ac:dyDescent="0.25">
      <c r="B49" s="7" t="s">
        <v>51</v>
      </c>
      <c r="C49" s="7"/>
      <c r="D49" s="7"/>
      <c r="F49" s="7" t="s">
        <v>55</v>
      </c>
      <c r="G49" s="7"/>
      <c r="H49" s="2">
        <f>AVERAGE(C51:D82)</f>
        <v>69344.21875</v>
      </c>
      <c r="I49" t="s">
        <v>57</v>
      </c>
      <c r="J49" s="3">
        <f>_xlfn.STDEV.P(C51:D82)</f>
        <v>6582.5091945168169</v>
      </c>
      <c r="P49" t="s">
        <v>62</v>
      </c>
      <c r="R49" t="s">
        <v>63</v>
      </c>
      <c r="T49" t="s">
        <v>64</v>
      </c>
      <c r="V49" t="s">
        <v>65</v>
      </c>
      <c r="X49" t="s">
        <v>66</v>
      </c>
    </row>
    <row r="50" spans="1:25" x14ac:dyDescent="0.25">
      <c r="B50" t="s">
        <v>52</v>
      </c>
      <c r="C50" s="7" t="s">
        <v>53</v>
      </c>
      <c r="D50" s="7"/>
      <c r="E50" t="s">
        <v>54</v>
      </c>
      <c r="F50" s="7" t="s">
        <v>56</v>
      </c>
      <c r="G50" s="7"/>
      <c r="H50" t="s">
        <v>59</v>
      </c>
      <c r="L50">
        <f>_xlfn.STDEV.P(K51:K82)</f>
        <v>1.2610800881086051</v>
      </c>
      <c r="O50" t="s">
        <v>61</v>
      </c>
      <c r="P50" t="s">
        <v>67</v>
      </c>
      <c r="Q50" t="s">
        <v>68</v>
      </c>
      <c r="R50" t="s">
        <v>67</v>
      </c>
      <c r="S50" t="s">
        <v>68</v>
      </c>
      <c r="T50" t="s">
        <v>67</v>
      </c>
      <c r="U50" t="s">
        <v>68</v>
      </c>
      <c r="V50" t="s">
        <v>67</v>
      </c>
      <c r="W50" t="s">
        <v>68</v>
      </c>
      <c r="X50" t="s">
        <v>67</v>
      </c>
      <c r="Y50" t="s">
        <v>68</v>
      </c>
    </row>
    <row r="51" spans="1:25" x14ac:dyDescent="0.25">
      <c r="A51" t="s">
        <v>46</v>
      </c>
      <c r="B51">
        <v>63400</v>
      </c>
      <c r="C51" s="7">
        <v>64628</v>
      </c>
      <c r="D51" s="7"/>
      <c r="E51">
        <f t="shared" ref="E51:E82" si="7">C51/B51</f>
        <v>1.0193690851735016</v>
      </c>
      <c r="F51" s="3">
        <f>(C51-$H$49)/$J$49</f>
        <v>-0.71647735090572706</v>
      </c>
      <c r="K51" s="3">
        <f>HFA!G6</f>
        <v>3.1629117751097411</v>
      </c>
      <c r="L51">
        <f>K51/$L$50</f>
        <v>2.5080974673492338</v>
      </c>
      <c r="O51">
        <v>0</v>
      </c>
    </row>
    <row r="52" spans="1:25" x14ac:dyDescent="0.25">
      <c r="A52" t="s">
        <v>1</v>
      </c>
      <c r="B52">
        <v>71000</v>
      </c>
      <c r="C52" s="7">
        <v>71450</v>
      </c>
      <c r="D52" s="7"/>
      <c r="E52">
        <f t="shared" si="7"/>
        <v>1.0063380281690142</v>
      </c>
      <c r="F52" s="3">
        <f t="shared" ref="F52:F82" si="8">(C52-$H$49)/$J$49</f>
        <v>0.31990555391158448</v>
      </c>
      <c r="K52" s="3">
        <f>HFA!G7</f>
        <v>2.0948916061022858</v>
      </c>
      <c r="L52">
        <f t="shared" ref="L52:L82" si="9">K52/$L$50</f>
        <v>1.6611883938666014</v>
      </c>
      <c r="O52">
        <v>0</v>
      </c>
    </row>
    <row r="53" spans="1:25" x14ac:dyDescent="0.25">
      <c r="A53" t="s">
        <v>2</v>
      </c>
      <c r="B53">
        <v>71000</v>
      </c>
      <c r="C53" s="7">
        <v>70261</v>
      </c>
      <c r="D53" s="7"/>
      <c r="E53">
        <f t="shared" si="7"/>
        <v>0.98959154929577464</v>
      </c>
      <c r="F53" s="3">
        <f t="shared" si="8"/>
        <v>0.13927534666623365</v>
      </c>
      <c r="K53" s="3">
        <f>HFA!G8</f>
        <v>2.4642091669668584</v>
      </c>
      <c r="L53">
        <f t="shared" si="9"/>
        <v>1.9540465274197867</v>
      </c>
      <c r="O53">
        <v>1</v>
      </c>
      <c r="P53" s="6">
        <v>0.68</v>
      </c>
      <c r="R53" s="6">
        <v>0.67</v>
      </c>
      <c r="T53" s="6">
        <v>0.65</v>
      </c>
      <c r="V53" s="6">
        <v>0.64</v>
      </c>
    </row>
    <row r="54" spans="1:25" x14ac:dyDescent="0.25">
      <c r="A54" t="s">
        <v>3</v>
      </c>
      <c r="B54">
        <v>71600</v>
      </c>
      <c r="C54" s="7">
        <v>70872</v>
      </c>
      <c r="D54" s="7"/>
      <c r="E54">
        <f t="shared" si="7"/>
        <v>0.98983240223463687</v>
      </c>
      <c r="F54" s="3">
        <f t="shared" si="8"/>
        <v>0.23209709319853755</v>
      </c>
      <c r="K54" s="3">
        <f>HFA!G9</f>
        <v>3.0543431953490749</v>
      </c>
      <c r="L54">
        <f t="shared" si="9"/>
        <v>2.4220057267972921</v>
      </c>
      <c r="O54">
        <v>1</v>
      </c>
      <c r="P54" s="6">
        <v>0.74</v>
      </c>
      <c r="R54" s="6">
        <v>0.73</v>
      </c>
      <c r="T54" s="6">
        <v>0.75</v>
      </c>
      <c r="V54" s="6">
        <v>0.77</v>
      </c>
    </row>
    <row r="55" spans="1:25" x14ac:dyDescent="0.25">
      <c r="A55" t="s">
        <v>4</v>
      </c>
      <c r="B55">
        <v>74870</v>
      </c>
      <c r="C55" s="7">
        <v>72271</v>
      </c>
      <c r="D55" s="7"/>
      <c r="E55">
        <f t="shared" si="7"/>
        <v>0.96528649659409649</v>
      </c>
      <c r="F55" s="3">
        <f t="shared" si="8"/>
        <v>0.44463002838461474</v>
      </c>
      <c r="K55" s="3">
        <f>HFA!G10</f>
        <v>2.9772153321058328</v>
      </c>
      <c r="L55">
        <f t="shared" si="9"/>
        <v>2.3608455641949941</v>
      </c>
      <c r="O55">
        <v>1</v>
      </c>
      <c r="P55" s="6">
        <v>0.73</v>
      </c>
      <c r="R55" s="6">
        <v>0.7</v>
      </c>
      <c r="T55" s="6">
        <v>0.67</v>
      </c>
      <c r="V55" s="6">
        <v>0.67</v>
      </c>
    </row>
    <row r="56" spans="1:25" x14ac:dyDescent="0.25">
      <c r="A56" t="s">
        <v>5</v>
      </c>
      <c r="B56">
        <v>61500</v>
      </c>
      <c r="C56" s="7">
        <v>58529</v>
      </c>
      <c r="D56" s="7"/>
      <c r="E56">
        <f t="shared" si="7"/>
        <v>0.9516910569105691</v>
      </c>
      <c r="F56" s="3">
        <f t="shared" si="8"/>
        <v>-1.6430237209556806</v>
      </c>
      <c r="K56" s="3">
        <f>HFA!G11</f>
        <v>0.93013955955743</v>
      </c>
      <c r="L56">
        <f t="shared" si="9"/>
        <v>0.73757374200751458</v>
      </c>
      <c r="O56">
        <v>1</v>
      </c>
      <c r="P56" s="6">
        <v>0.71</v>
      </c>
      <c r="R56" s="6">
        <v>0.68</v>
      </c>
      <c r="T56" s="6">
        <v>0.72</v>
      </c>
      <c r="V56" s="6">
        <v>0.76</v>
      </c>
    </row>
    <row r="57" spans="1:25" x14ac:dyDescent="0.25">
      <c r="A57" t="s">
        <v>6</v>
      </c>
      <c r="B57">
        <v>65500</v>
      </c>
      <c r="C57" s="7">
        <v>66069</v>
      </c>
      <c r="D57" s="7"/>
      <c r="E57">
        <f t="shared" si="7"/>
        <v>1.0086870229007634</v>
      </c>
      <c r="F57" s="3">
        <f t="shared" si="8"/>
        <v>-0.49756387013150455</v>
      </c>
      <c r="K57" s="3">
        <f>HFA!G12</f>
        <v>2.0392187070635965</v>
      </c>
      <c r="L57">
        <f t="shared" si="9"/>
        <v>1.6170413967300525</v>
      </c>
      <c r="O57">
        <v>1</v>
      </c>
      <c r="P57" s="6">
        <v>0.72</v>
      </c>
      <c r="R57" s="6">
        <v>0.69</v>
      </c>
      <c r="T57" s="6">
        <v>0.71</v>
      </c>
      <c r="V57" s="6">
        <v>0.73</v>
      </c>
    </row>
    <row r="58" spans="1:25" x14ac:dyDescent="0.25">
      <c r="A58" t="s">
        <v>7</v>
      </c>
      <c r="B58">
        <v>67900</v>
      </c>
      <c r="C58" s="7">
        <v>64028</v>
      </c>
      <c r="D58" s="7"/>
      <c r="E58">
        <f t="shared" si="7"/>
        <v>0.94297496318114871</v>
      </c>
      <c r="F58" s="3">
        <f t="shared" si="8"/>
        <v>-0.80762800216494524</v>
      </c>
      <c r="K58" s="3">
        <f>HFA!G13</f>
        <v>1.587337617529452</v>
      </c>
      <c r="L58">
        <f t="shared" si="9"/>
        <v>1.2587127752609075</v>
      </c>
      <c r="O58">
        <v>1</v>
      </c>
      <c r="P58" s="6">
        <v>0.74</v>
      </c>
      <c r="R58" s="6">
        <v>0.71</v>
      </c>
      <c r="T58" s="6">
        <v>0.72</v>
      </c>
      <c r="V58" s="6">
        <v>0.74</v>
      </c>
    </row>
    <row r="59" spans="1:25" x14ac:dyDescent="0.25">
      <c r="A59" t="s">
        <v>8</v>
      </c>
      <c r="B59">
        <v>80000</v>
      </c>
      <c r="C59" s="7">
        <v>92849</v>
      </c>
      <c r="D59" s="7"/>
      <c r="E59">
        <f t="shared" si="7"/>
        <v>1.1606125</v>
      </c>
      <c r="F59" s="3">
        <f t="shared" si="8"/>
        <v>3.5707935310716032</v>
      </c>
      <c r="K59" s="3">
        <f>HFA!G14</f>
        <v>5.9802616570316651</v>
      </c>
      <c r="L59">
        <f t="shared" si="9"/>
        <v>4.742174357856201</v>
      </c>
      <c r="O59">
        <v>0</v>
      </c>
    </row>
    <row r="60" spans="1:25" x14ac:dyDescent="0.25">
      <c r="A60" t="s">
        <v>9</v>
      </c>
      <c r="B60">
        <v>76100</v>
      </c>
      <c r="C60" s="7">
        <v>75281</v>
      </c>
      <c r="D60" s="7"/>
      <c r="E60">
        <f t="shared" si="7"/>
        <v>0.98923784494086731</v>
      </c>
      <c r="F60" s="3">
        <f t="shared" si="8"/>
        <v>0.90190246220169301</v>
      </c>
      <c r="K60" s="3">
        <f>HFA!G15</f>
        <v>6.9787943976855633</v>
      </c>
      <c r="L60">
        <f t="shared" si="9"/>
        <v>5.5339819124037621</v>
      </c>
      <c r="O60">
        <v>1</v>
      </c>
      <c r="P60" s="6">
        <v>0.5</v>
      </c>
      <c r="Q60">
        <v>64</v>
      </c>
      <c r="R60" s="6">
        <v>0.49</v>
      </c>
      <c r="S60">
        <v>52</v>
      </c>
      <c r="T60" s="6">
        <v>0.55000000000000004</v>
      </c>
      <c r="U60">
        <v>39</v>
      </c>
      <c r="V60" s="6">
        <v>0.56000000000000005</v>
      </c>
      <c r="W60">
        <v>32</v>
      </c>
    </row>
    <row r="61" spans="1:25" x14ac:dyDescent="0.25">
      <c r="A61" t="s">
        <v>47</v>
      </c>
      <c r="B61">
        <v>65000</v>
      </c>
      <c r="C61" s="7">
        <v>64498</v>
      </c>
      <c r="D61" s="7"/>
      <c r="E61">
        <f t="shared" si="7"/>
        <v>0.99227692307692306</v>
      </c>
      <c r="F61" s="3">
        <f t="shared" si="8"/>
        <v>-0.73622665867855763</v>
      </c>
      <c r="K61" s="3">
        <f>HFA!G16</f>
        <v>1.9791138148170091</v>
      </c>
      <c r="L61">
        <f t="shared" si="9"/>
        <v>1.5693799572914726</v>
      </c>
      <c r="O61">
        <v>0</v>
      </c>
    </row>
    <row r="62" spans="1:25" x14ac:dyDescent="0.25">
      <c r="A62" t="s">
        <v>10</v>
      </c>
      <c r="B62">
        <v>81400</v>
      </c>
      <c r="C62" s="7">
        <v>77784</v>
      </c>
      <c r="D62" s="7"/>
      <c r="E62">
        <f t="shared" si="7"/>
        <v>0.95557739557739563</v>
      </c>
      <c r="F62" s="3">
        <f t="shared" si="8"/>
        <v>1.2821525957047317</v>
      </c>
      <c r="K62" s="3">
        <f>HFA!G17</f>
        <v>3.9273635788076504</v>
      </c>
      <c r="L62">
        <f t="shared" si="9"/>
        <v>3.1142856158311045</v>
      </c>
      <c r="O62">
        <v>1</v>
      </c>
    </row>
    <row r="63" spans="1:25" x14ac:dyDescent="0.25">
      <c r="A63" t="s">
        <v>11</v>
      </c>
      <c r="B63">
        <v>71800</v>
      </c>
      <c r="C63" s="7">
        <v>70712</v>
      </c>
      <c r="D63" s="7"/>
      <c r="E63">
        <f t="shared" si="7"/>
        <v>0.98484679665738162</v>
      </c>
      <c r="F63" s="3">
        <f t="shared" si="8"/>
        <v>0.20779025286274602</v>
      </c>
      <c r="K63" s="3">
        <f>HFA!G18</f>
        <v>2.4409321883466171</v>
      </c>
      <c r="L63">
        <f t="shared" si="9"/>
        <v>1.9355885572720282</v>
      </c>
      <c r="O63">
        <v>0</v>
      </c>
    </row>
    <row r="64" spans="1:25" x14ac:dyDescent="0.25">
      <c r="A64" t="s">
        <v>12</v>
      </c>
      <c r="B64">
        <v>67000</v>
      </c>
      <c r="C64" s="7">
        <v>64853</v>
      </c>
      <c r="D64" s="7"/>
      <c r="E64">
        <f t="shared" si="7"/>
        <v>0.96795522388059696</v>
      </c>
      <c r="F64" s="3">
        <f t="shared" si="8"/>
        <v>-0.68229585668352022</v>
      </c>
      <c r="K64" s="3">
        <f>HFA!G19</f>
        <v>2.1690835788003509</v>
      </c>
      <c r="L64">
        <f t="shared" si="9"/>
        <v>1.7200204802643335</v>
      </c>
      <c r="O64">
        <v>0</v>
      </c>
    </row>
    <row r="65" spans="1:23" x14ac:dyDescent="0.25">
      <c r="A65" t="s">
        <v>13</v>
      </c>
      <c r="B65">
        <v>67300</v>
      </c>
      <c r="C65" s="7">
        <v>65519</v>
      </c>
      <c r="D65" s="7"/>
      <c r="E65">
        <f t="shared" si="7"/>
        <v>0.97353640416047549</v>
      </c>
      <c r="F65" s="3">
        <f t="shared" si="8"/>
        <v>-0.58111863378578787</v>
      </c>
      <c r="K65" s="3">
        <f>HFA!G20</f>
        <v>1.5055191350314163</v>
      </c>
      <c r="L65">
        <f t="shared" si="9"/>
        <v>1.1938330873889431</v>
      </c>
      <c r="O65">
        <v>1</v>
      </c>
      <c r="P65" s="6">
        <v>0.81</v>
      </c>
      <c r="Q65">
        <v>79</v>
      </c>
      <c r="R65" s="6">
        <v>0.78</v>
      </c>
      <c r="S65">
        <v>71</v>
      </c>
      <c r="T65" s="6">
        <v>0.77</v>
      </c>
      <c r="U65">
        <v>62</v>
      </c>
      <c r="V65" s="6">
        <v>0.76</v>
      </c>
      <c r="W65">
        <v>56</v>
      </c>
    </row>
    <row r="66" spans="1:23" x14ac:dyDescent="0.25">
      <c r="A66" t="s">
        <v>14</v>
      </c>
      <c r="B66">
        <v>76400</v>
      </c>
      <c r="C66" s="7">
        <v>73561</v>
      </c>
      <c r="D66" s="7"/>
      <c r="E66">
        <f t="shared" si="7"/>
        <v>0.9628403141361257</v>
      </c>
      <c r="F66" s="3">
        <f t="shared" si="8"/>
        <v>0.64060392859193405</v>
      </c>
      <c r="K66" s="3">
        <f>HFA!G21</f>
        <v>3.6825602619815641</v>
      </c>
      <c r="L66">
        <f t="shared" si="9"/>
        <v>2.9201636729549403</v>
      </c>
      <c r="O66">
        <v>1</v>
      </c>
      <c r="P66" s="6">
        <v>0.69</v>
      </c>
      <c r="Q66">
        <v>70</v>
      </c>
      <c r="R66" s="6">
        <v>0.66</v>
      </c>
      <c r="S66">
        <v>59</v>
      </c>
      <c r="T66" s="6">
        <v>0.68</v>
      </c>
      <c r="U66">
        <v>46</v>
      </c>
      <c r="V66" s="6">
        <v>0.7</v>
      </c>
      <c r="W66">
        <v>34</v>
      </c>
    </row>
    <row r="67" spans="1:23" x14ac:dyDescent="0.25">
      <c r="A67" t="s">
        <v>15</v>
      </c>
      <c r="B67">
        <v>65000</v>
      </c>
      <c r="C67" s="7">
        <v>62370</v>
      </c>
      <c r="D67" s="7"/>
      <c r="E67">
        <f t="shared" si="7"/>
        <v>0.95953846153846156</v>
      </c>
      <c r="F67" s="3">
        <f t="shared" si="8"/>
        <v>-1.0595076351445851</v>
      </c>
      <c r="K67" s="3">
        <f>HFA!G22</f>
        <v>2.224279037181391</v>
      </c>
      <c r="L67">
        <f t="shared" si="9"/>
        <v>1.7637888807818798</v>
      </c>
      <c r="O67">
        <v>0</v>
      </c>
    </row>
    <row r="68" spans="1:23" x14ac:dyDescent="0.25">
      <c r="A68" t="s">
        <v>16</v>
      </c>
      <c r="B68">
        <v>70200</v>
      </c>
      <c r="C68" s="7">
        <v>71230</v>
      </c>
      <c r="D68" s="7"/>
      <c r="E68">
        <f t="shared" si="7"/>
        <v>1.0146723646723648</v>
      </c>
      <c r="F68" s="3">
        <f t="shared" si="8"/>
        <v>0.28648364844987112</v>
      </c>
      <c r="K68" s="3">
        <f>HFA!G23</f>
        <v>2.7063964172670754</v>
      </c>
      <c r="L68">
        <f t="shared" si="9"/>
        <v>2.1460940052793847</v>
      </c>
      <c r="O68">
        <v>0</v>
      </c>
    </row>
    <row r="69" spans="1:23" x14ac:dyDescent="0.25">
      <c r="A69" t="s">
        <v>17</v>
      </c>
      <c r="B69">
        <v>70200</v>
      </c>
      <c r="C69" s="7">
        <v>72726</v>
      </c>
      <c r="D69" s="7"/>
      <c r="E69">
        <f t="shared" si="7"/>
        <v>1.035982905982906</v>
      </c>
      <c r="F69" s="3">
        <f t="shared" si="8"/>
        <v>0.51375260558952196</v>
      </c>
      <c r="K69" s="3">
        <f>HFA!G24</f>
        <v>2.9365156870885181</v>
      </c>
      <c r="L69">
        <f t="shared" si="9"/>
        <v>2.3285719240026754</v>
      </c>
      <c r="O69">
        <v>0</v>
      </c>
    </row>
    <row r="70" spans="1:23" x14ac:dyDescent="0.25">
      <c r="A70" t="s">
        <v>18</v>
      </c>
      <c r="B70">
        <v>65300</v>
      </c>
      <c r="C70" s="7">
        <v>65839</v>
      </c>
      <c r="D70" s="7"/>
      <c r="E70">
        <f t="shared" si="7"/>
        <v>1.0082542113323123</v>
      </c>
      <c r="F70" s="3">
        <f t="shared" si="8"/>
        <v>-0.53250495311420487</v>
      </c>
      <c r="K70" s="3">
        <f>HFA!G25</f>
        <v>1.6103994823696661</v>
      </c>
      <c r="L70">
        <f t="shared" si="9"/>
        <v>1.2770001664089217</v>
      </c>
      <c r="O70">
        <v>1</v>
      </c>
      <c r="P70" s="6">
        <v>0.78</v>
      </c>
      <c r="Q70">
        <v>83</v>
      </c>
      <c r="R70" s="6">
        <v>0.75</v>
      </c>
      <c r="S70">
        <v>80</v>
      </c>
      <c r="T70" s="6">
        <v>0.74</v>
      </c>
      <c r="U70">
        <v>75</v>
      </c>
      <c r="V70" s="6">
        <v>0.72</v>
      </c>
      <c r="W70">
        <v>71</v>
      </c>
    </row>
    <row r="71" spans="1:23" x14ac:dyDescent="0.25">
      <c r="A71" t="s">
        <v>19</v>
      </c>
      <c r="B71">
        <v>66200</v>
      </c>
      <c r="C71" s="7">
        <v>66889</v>
      </c>
      <c r="D71" s="7"/>
      <c r="E71">
        <f t="shared" si="7"/>
        <v>1.0104078549848943</v>
      </c>
      <c r="F71" s="3">
        <f t="shared" si="8"/>
        <v>-0.3729913134105729</v>
      </c>
      <c r="K71" s="3">
        <f>HFA!G26</f>
        <v>2.3411640892053516</v>
      </c>
      <c r="L71">
        <f t="shared" si="9"/>
        <v>1.8564753430661805</v>
      </c>
      <c r="O71">
        <v>0</v>
      </c>
    </row>
    <row r="72" spans="1:23" x14ac:dyDescent="0.25">
      <c r="A72" t="s">
        <v>20</v>
      </c>
      <c r="B72">
        <v>65900</v>
      </c>
      <c r="C72" s="7">
        <v>64628</v>
      </c>
      <c r="D72" s="7"/>
      <c r="E72">
        <f t="shared" si="7"/>
        <v>0.98069802731411226</v>
      </c>
      <c r="F72" s="3">
        <f t="shared" si="8"/>
        <v>-0.71647735090572706</v>
      </c>
      <c r="K72" s="3">
        <f>HFA!G27</f>
        <v>1.6050604179114774</v>
      </c>
      <c r="L72">
        <f t="shared" si="9"/>
        <v>1.2727664428662746</v>
      </c>
      <c r="O72">
        <v>1</v>
      </c>
      <c r="P72" s="6">
        <v>0.73</v>
      </c>
      <c r="Q72">
        <v>65</v>
      </c>
      <c r="R72" s="6">
        <v>0.7</v>
      </c>
      <c r="S72">
        <v>54</v>
      </c>
      <c r="T72" s="6">
        <v>0.68</v>
      </c>
      <c r="U72">
        <v>45</v>
      </c>
      <c r="V72" s="6">
        <v>0.67</v>
      </c>
      <c r="W72">
        <v>34</v>
      </c>
    </row>
    <row r="73" spans="1:23" x14ac:dyDescent="0.25">
      <c r="A73" t="s">
        <v>21</v>
      </c>
      <c r="B73">
        <v>73000</v>
      </c>
      <c r="C73" s="7">
        <v>70034</v>
      </c>
      <c r="D73" s="7"/>
      <c r="E73">
        <f t="shared" si="7"/>
        <v>0.95936986301369864</v>
      </c>
      <c r="F73" s="3">
        <f t="shared" si="8"/>
        <v>0.10479001693982939</v>
      </c>
      <c r="K73" s="3">
        <f>HFA!G28</f>
        <v>2.0481028075720422</v>
      </c>
      <c r="L73">
        <f t="shared" si="9"/>
        <v>1.6240862312272575</v>
      </c>
      <c r="O73">
        <v>0</v>
      </c>
    </row>
    <row r="74" spans="1:23" x14ac:dyDescent="0.25">
      <c r="A74" t="s">
        <v>23</v>
      </c>
      <c r="B74">
        <v>82500</v>
      </c>
      <c r="C74" s="7">
        <v>81980</v>
      </c>
      <c r="D74" s="7"/>
      <c r="E74">
        <f t="shared" si="7"/>
        <v>0.99369696969696975</v>
      </c>
      <c r="F74" s="3">
        <f t="shared" si="8"/>
        <v>1.9195994835108647</v>
      </c>
      <c r="K74" s="3">
        <f>HFA!G29</f>
        <v>3.8220066236730981</v>
      </c>
      <c r="L74">
        <f t="shared" si="9"/>
        <v>3.030740600627059</v>
      </c>
      <c r="O74">
        <v>1</v>
      </c>
      <c r="P74" s="6">
        <v>0.68</v>
      </c>
      <c r="R74" s="6">
        <v>0.66</v>
      </c>
      <c r="T74" s="6">
        <v>0.64</v>
      </c>
      <c r="V74" s="6">
        <v>0.64</v>
      </c>
    </row>
    <row r="75" spans="1:23" x14ac:dyDescent="0.25">
      <c r="A75" t="s">
        <v>22</v>
      </c>
      <c r="B75">
        <v>82500</v>
      </c>
      <c r="C75" s="7">
        <v>75115</v>
      </c>
      <c r="D75" s="7"/>
      <c r="E75">
        <f t="shared" si="7"/>
        <v>0.91048484848484845</v>
      </c>
      <c r="F75" s="3">
        <f t="shared" si="8"/>
        <v>0.87668411535330926</v>
      </c>
      <c r="K75" s="3">
        <f>HFA!G30</f>
        <v>2.7914468841705133</v>
      </c>
      <c r="L75">
        <f t="shared" si="9"/>
        <v>2.2135365632147797</v>
      </c>
      <c r="O75">
        <v>1</v>
      </c>
      <c r="P75" s="6">
        <v>0.68</v>
      </c>
      <c r="R75" s="6">
        <v>0.66</v>
      </c>
      <c r="T75" s="6">
        <v>0.64</v>
      </c>
      <c r="V75" s="6">
        <v>0.64</v>
      </c>
    </row>
    <row r="76" spans="1:23" x14ac:dyDescent="0.25">
      <c r="A76" t="s">
        <v>24</v>
      </c>
      <c r="B76">
        <v>67600</v>
      </c>
      <c r="C76" s="7">
        <v>69879</v>
      </c>
      <c r="D76" s="7"/>
      <c r="E76">
        <f t="shared" si="7"/>
        <v>1.0337130177514793</v>
      </c>
      <c r="F76" s="3">
        <f t="shared" si="8"/>
        <v>8.1242765364531344E-2</v>
      </c>
      <c r="K76" s="3">
        <f>HFA!G31</f>
        <v>2.4684405488016186</v>
      </c>
      <c r="L76">
        <f t="shared" si="9"/>
        <v>1.9574018907108737</v>
      </c>
      <c r="O76">
        <v>1</v>
      </c>
      <c r="P76" s="6">
        <v>0.71</v>
      </c>
      <c r="R76" s="6">
        <v>0.71</v>
      </c>
      <c r="T76" s="6">
        <v>0.68</v>
      </c>
      <c r="V76" s="6">
        <v>0.67</v>
      </c>
    </row>
    <row r="77" spans="1:23" x14ac:dyDescent="0.25">
      <c r="A77" t="s">
        <v>25</v>
      </c>
      <c r="B77">
        <v>68400</v>
      </c>
      <c r="C77" s="7">
        <v>67965</v>
      </c>
      <c r="D77" s="7"/>
      <c r="E77">
        <f t="shared" si="7"/>
        <v>0.99364035087719293</v>
      </c>
      <c r="F77" s="3">
        <f t="shared" si="8"/>
        <v>-0.20952781215237487</v>
      </c>
      <c r="K77" s="3">
        <f>HFA!G32</f>
        <v>2.5514474566648291</v>
      </c>
      <c r="L77">
        <f t="shared" si="9"/>
        <v>2.023223965490998</v>
      </c>
      <c r="O77">
        <v>1</v>
      </c>
      <c r="P77" s="6">
        <v>0.72</v>
      </c>
      <c r="R77" s="6">
        <v>0.68</v>
      </c>
      <c r="T77" s="6">
        <v>0.7</v>
      </c>
      <c r="V77" s="6">
        <v>0.72</v>
      </c>
    </row>
    <row r="78" spans="1:23" x14ac:dyDescent="0.25">
      <c r="A78" t="s">
        <v>26</v>
      </c>
      <c r="B78">
        <v>68500</v>
      </c>
      <c r="C78" s="7">
        <v>70841</v>
      </c>
      <c r="D78" s="7"/>
      <c r="E78">
        <f t="shared" si="7"/>
        <v>1.0341751824817518</v>
      </c>
      <c r="F78" s="3">
        <f t="shared" si="8"/>
        <v>0.22738764288347793</v>
      </c>
      <c r="K78" s="3">
        <f>HFA!G33</f>
        <v>2.3371398958276663</v>
      </c>
      <c r="L78">
        <f t="shared" si="9"/>
        <v>1.853284274223185</v>
      </c>
      <c r="O78">
        <v>1</v>
      </c>
      <c r="P78" s="6">
        <v>0.73</v>
      </c>
      <c r="R78" s="6">
        <v>0.71</v>
      </c>
      <c r="T78" s="6">
        <v>0.75</v>
      </c>
      <c r="V78" s="6">
        <v>0.78</v>
      </c>
    </row>
    <row r="79" spans="1:23" x14ac:dyDescent="0.25">
      <c r="A79" t="s">
        <v>27</v>
      </c>
      <c r="B79">
        <v>68700</v>
      </c>
      <c r="C79" s="7">
        <v>68702</v>
      </c>
      <c r="D79" s="7"/>
      <c r="E79">
        <f t="shared" si="7"/>
        <v>1.0000291120815139</v>
      </c>
      <c r="F79" s="3">
        <f t="shared" si="8"/>
        <v>-9.7564428855635113E-2</v>
      </c>
      <c r="K79" s="3">
        <f>HFA!G34</f>
        <v>2.1078292518289339</v>
      </c>
      <c r="L79">
        <f t="shared" si="9"/>
        <v>1.6714475723665587</v>
      </c>
      <c r="O79">
        <v>1</v>
      </c>
      <c r="P79" s="6">
        <v>0.73</v>
      </c>
      <c r="R79" s="6">
        <v>0.78</v>
      </c>
      <c r="T79" s="6">
        <v>0.79</v>
      </c>
      <c r="V79" s="6">
        <v>0.8</v>
      </c>
    </row>
    <row r="80" spans="1:23" x14ac:dyDescent="0.25">
      <c r="A80" t="s">
        <v>28</v>
      </c>
      <c r="B80">
        <v>65900</v>
      </c>
      <c r="C80" s="7">
        <v>63724</v>
      </c>
      <c r="D80" s="7"/>
      <c r="E80">
        <f t="shared" si="7"/>
        <v>0.96698027314112289</v>
      </c>
      <c r="F80" s="3">
        <f t="shared" si="8"/>
        <v>-0.85381099880294919</v>
      </c>
      <c r="K80" s="3">
        <f>HFA!G35</f>
        <v>1.2769674863885241</v>
      </c>
      <c r="L80">
        <f t="shared" si="9"/>
        <v>1.0125982468756185</v>
      </c>
      <c r="O80">
        <v>1</v>
      </c>
      <c r="P80" s="6">
        <v>0.78</v>
      </c>
      <c r="R80" s="6">
        <v>0.74</v>
      </c>
      <c r="T80" s="6">
        <v>0.75</v>
      </c>
      <c r="V80" s="6">
        <v>0.75</v>
      </c>
    </row>
    <row r="81" spans="1:22" x14ac:dyDescent="0.25">
      <c r="A81" t="s">
        <v>29</v>
      </c>
      <c r="B81">
        <v>69100</v>
      </c>
      <c r="C81" s="7">
        <v>59486</v>
      </c>
      <c r="D81" s="7"/>
      <c r="E81">
        <f t="shared" si="7"/>
        <v>0.86086830680173665</v>
      </c>
      <c r="F81" s="3">
        <f t="shared" si="8"/>
        <v>-1.4976384321972274</v>
      </c>
      <c r="K81" s="3">
        <f>HFA!G36</f>
        <v>0.87873020485732423</v>
      </c>
      <c r="L81">
        <f t="shared" si="9"/>
        <v>0.69680761209643916</v>
      </c>
      <c r="O81">
        <v>1</v>
      </c>
      <c r="P81" s="6">
        <v>0.74</v>
      </c>
      <c r="R81" s="6">
        <v>0.69</v>
      </c>
      <c r="T81" s="6">
        <v>0.7</v>
      </c>
      <c r="V81" s="6">
        <v>0.71</v>
      </c>
    </row>
    <row r="82" spans="1:22" x14ac:dyDescent="0.25">
      <c r="A82" t="s">
        <v>30</v>
      </c>
      <c r="B82">
        <v>79000</v>
      </c>
      <c r="C82" s="7">
        <v>64442</v>
      </c>
      <c r="D82" s="7"/>
      <c r="E82">
        <f t="shared" si="7"/>
        <v>0.8157215189873418</v>
      </c>
      <c r="F82" s="3">
        <f t="shared" si="8"/>
        <v>-0.74473405279608473</v>
      </c>
      <c r="K82" s="3">
        <f>HFA!G37</f>
        <v>1.4378879583131499</v>
      </c>
      <c r="L82">
        <f t="shared" si="9"/>
        <v>1.1402035222598155</v>
      </c>
      <c r="O82">
        <v>1</v>
      </c>
      <c r="P82" s="6">
        <v>0.68</v>
      </c>
      <c r="R82" s="6">
        <v>0.67</v>
      </c>
      <c r="T82" s="6">
        <v>0.65</v>
      </c>
      <c r="V82" s="6">
        <v>0.64</v>
      </c>
    </row>
    <row r="87" spans="1:22" x14ac:dyDescent="0.25">
      <c r="Q87" t="s">
        <v>69</v>
      </c>
    </row>
    <row r="88" spans="1:22" x14ac:dyDescent="0.25">
      <c r="Q88" t="s">
        <v>70</v>
      </c>
      <c r="R88" t="s">
        <v>68</v>
      </c>
    </row>
    <row r="89" spans="1:22" x14ac:dyDescent="0.25">
      <c r="O89" t="s">
        <v>46</v>
      </c>
      <c r="Q89">
        <f>(P51+R51+T51+V51)/4</f>
        <v>0</v>
      </c>
      <c r="R89">
        <f>(Q51+S51+U51+W51)/4</f>
        <v>0</v>
      </c>
    </row>
    <row r="90" spans="1:22" x14ac:dyDescent="0.25">
      <c r="O90" t="s">
        <v>1</v>
      </c>
      <c r="Q90">
        <f t="shared" ref="Q90:Q120" si="10">(P52+R52+T52+V52)/4</f>
        <v>0</v>
      </c>
      <c r="R90">
        <f t="shared" ref="R90:R120" si="11">(Q52+S52+U52+W52)/4</f>
        <v>0</v>
      </c>
    </row>
    <row r="91" spans="1:22" x14ac:dyDescent="0.25">
      <c r="O91" t="s">
        <v>2</v>
      </c>
      <c r="Q91">
        <f t="shared" si="10"/>
        <v>0.66</v>
      </c>
      <c r="R91">
        <f t="shared" si="11"/>
        <v>0</v>
      </c>
    </row>
    <row r="92" spans="1:22" x14ac:dyDescent="0.25">
      <c r="O92" t="s">
        <v>3</v>
      </c>
      <c r="Q92">
        <f t="shared" si="10"/>
        <v>0.74749999999999994</v>
      </c>
      <c r="R92">
        <f t="shared" si="11"/>
        <v>0</v>
      </c>
    </row>
    <row r="93" spans="1:22" x14ac:dyDescent="0.25">
      <c r="O93" t="s">
        <v>4</v>
      </c>
      <c r="Q93">
        <f t="shared" si="10"/>
        <v>0.6925</v>
      </c>
      <c r="R93">
        <f t="shared" si="11"/>
        <v>0</v>
      </c>
    </row>
    <row r="94" spans="1:22" x14ac:dyDescent="0.25">
      <c r="O94" t="s">
        <v>5</v>
      </c>
      <c r="Q94">
        <f t="shared" si="10"/>
        <v>0.71750000000000003</v>
      </c>
      <c r="R94">
        <f t="shared" si="11"/>
        <v>0</v>
      </c>
    </row>
    <row r="95" spans="1:22" x14ac:dyDescent="0.25">
      <c r="O95" t="s">
        <v>6</v>
      </c>
      <c r="Q95">
        <f t="shared" si="10"/>
        <v>0.71250000000000002</v>
      </c>
      <c r="R95">
        <f t="shared" si="11"/>
        <v>0</v>
      </c>
    </row>
    <row r="96" spans="1:22" x14ac:dyDescent="0.25">
      <c r="O96" t="s">
        <v>7</v>
      </c>
      <c r="Q96">
        <f t="shared" si="10"/>
        <v>0.72750000000000004</v>
      </c>
      <c r="R96">
        <f t="shared" si="11"/>
        <v>0</v>
      </c>
    </row>
    <row r="97" spans="15:18" x14ac:dyDescent="0.25">
      <c r="O97" t="s">
        <v>8</v>
      </c>
      <c r="Q97">
        <f t="shared" si="10"/>
        <v>0</v>
      </c>
      <c r="R97">
        <f t="shared" si="11"/>
        <v>0</v>
      </c>
    </row>
    <row r="98" spans="15:18" x14ac:dyDescent="0.25">
      <c r="O98" t="s">
        <v>9</v>
      </c>
      <c r="Q98">
        <f t="shared" si="10"/>
        <v>0.52500000000000002</v>
      </c>
      <c r="R98">
        <f t="shared" si="11"/>
        <v>46.75</v>
      </c>
    </row>
    <row r="99" spans="15:18" x14ac:dyDescent="0.25">
      <c r="O99" t="s">
        <v>47</v>
      </c>
      <c r="Q99">
        <f t="shared" si="10"/>
        <v>0</v>
      </c>
      <c r="R99">
        <f t="shared" si="11"/>
        <v>0</v>
      </c>
    </row>
    <row r="100" spans="15:18" x14ac:dyDescent="0.25">
      <c r="O100" t="s">
        <v>10</v>
      </c>
      <c r="Q100">
        <v>0.75</v>
      </c>
      <c r="R100">
        <f t="shared" si="11"/>
        <v>0</v>
      </c>
    </row>
    <row r="101" spans="15:18" x14ac:dyDescent="0.25">
      <c r="O101" t="s">
        <v>11</v>
      </c>
      <c r="Q101">
        <f t="shared" si="10"/>
        <v>0</v>
      </c>
      <c r="R101">
        <f t="shared" si="11"/>
        <v>0</v>
      </c>
    </row>
    <row r="102" spans="15:18" x14ac:dyDescent="0.25">
      <c r="O102" t="s">
        <v>12</v>
      </c>
      <c r="Q102">
        <f t="shared" si="10"/>
        <v>0</v>
      </c>
      <c r="R102">
        <f t="shared" si="11"/>
        <v>0</v>
      </c>
    </row>
    <row r="103" spans="15:18" x14ac:dyDescent="0.25">
      <c r="O103" t="s">
        <v>13</v>
      </c>
      <c r="Q103">
        <f t="shared" si="10"/>
        <v>0.78</v>
      </c>
      <c r="R103">
        <f t="shared" si="11"/>
        <v>67</v>
      </c>
    </row>
    <row r="104" spans="15:18" x14ac:dyDescent="0.25">
      <c r="O104" t="s">
        <v>14</v>
      </c>
      <c r="Q104">
        <f t="shared" si="10"/>
        <v>0.68250000000000011</v>
      </c>
      <c r="R104">
        <f t="shared" si="11"/>
        <v>52.25</v>
      </c>
    </row>
    <row r="105" spans="15:18" x14ac:dyDescent="0.25">
      <c r="O105" t="s">
        <v>15</v>
      </c>
      <c r="Q105">
        <f t="shared" si="10"/>
        <v>0</v>
      </c>
      <c r="R105">
        <f t="shared" si="11"/>
        <v>0</v>
      </c>
    </row>
    <row r="106" spans="15:18" x14ac:dyDescent="0.25">
      <c r="O106" t="s">
        <v>16</v>
      </c>
      <c r="Q106">
        <f t="shared" si="10"/>
        <v>0</v>
      </c>
      <c r="R106">
        <f t="shared" si="11"/>
        <v>0</v>
      </c>
    </row>
    <row r="107" spans="15:18" x14ac:dyDescent="0.25">
      <c r="O107" t="s">
        <v>17</v>
      </c>
      <c r="Q107">
        <f t="shared" si="10"/>
        <v>0</v>
      </c>
      <c r="R107">
        <f t="shared" si="11"/>
        <v>0</v>
      </c>
    </row>
    <row r="108" spans="15:18" x14ac:dyDescent="0.25">
      <c r="O108" t="s">
        <v>18</v>
      </c>
      <c r="Q108">
        <f t="shared" si="10"/>
        <v>0.74750000000000005</v>
      </c>
      <c r="R108">
        <f t="shared" si="11"/>
        <v>77.25</v>
      </c>
    </row>
    <row r="109" spans="15:18" x14ac:dyDescent="0.25">
      <c r="O109" t="s">
        <v>19</v>
      </c>
      <c r="Q109">
        <f t="shared" si="10"/>
        <v>0</v>
      </c>
      <c r="R109">
        <f t="shared" si="11"/>
        <v>0</v>
      </c>
    </row>
    <row r="110" spans="15:18" x14ac:dyDescent="0.25">
      <c r="O110" t="s">
        <v>20</v>
      </c>
      <c r="Q110">
        <f t="shared" si="10"/>
        <v>0.69499999999999995</v>
      </c>
      <c r="R110">
        <f t="shared" si="11"/>
        <v>49.5</v>
      </c>
    </row>
    <row r="111" spans="15:18" x14ac:dyDescent="0.25">
      <c r="O111" t="s">
        <v>21</v>
      </c>
      <c r="Q111">
        <f t="shared" si="10"/>
        <v>0</v>
      </c>
      <c r="R111">
        <f t="shared" si="11"/>
        <v>0</v>
      </c>
    </row>
    <row r="112" spans="15:18" x14ac:dyDescent="0.25">
      <c r="O112" t="s">
        <v>23</v>
      </c>
      <c r="Q112">
        <f t="shared" si="10"/>
        <v>0.65500000000000003</v>
      </c>
      <c r="R112">
        <f t="shared" si="11"/>
        <v>0</v>
      </c>
    </row>
    <row r="113" spans="15:18" x14ac:dyDescent="0.25">
      <c r="O113" t="s">
        <v>22</v>
      </c>
      <c r="Q113">
        <f t="shared" si="10"/>
        <v>0.65500000000000003</v>
      </c>
      <c r="R113">
        <f t="shared" si="11"/>
        <v>0</v>
      </c>
    </row>
    <row r="114" spans="15:18" x14ac:dyDescent="0.25">
      <c r="O114" t="s">
        <v>24</v>
      </c>
      <c r="Q114">
        <f t="shared" si="10"/>
        <v>0.6925</v>
      </c>
      <c r="R114">
        <f t="shared" si="11"/>
        <v>0</v>
      </c>
    </row>
    <row r="115" spans="15:18" x14ac:dyDescent="0.25">
      <c r="O115" t="s">
        <v>25</v>
      </c>
      <c r="Q115">
        <f t="shared" si="10"/>
        <v>0.70499999999999985</v>
      </c>
      <c r="R115">
        <f t="shared" si="11"/>
        <v>0</v>
      </c>
    </row>
    <row r="116" spans="15:18" x14ac:dyDescent="0.25">
      <c r="O116" t="s">
        <v>26</v>
      </c>
      <c r="Q116">
        <f t="shared" si="10"/>
        <v>0.74249999999999994</v>
      </c>
      <c r="R116">
        <f t="shared" si="11"/>
        <v>0</v>
      </c>
    </row>
    <row r="117" spans="15:18" x14ac:dyDescent="0.25">
      <c r="O117" t="s">
        <v>27</v>
      </c>
      <c r="Q117">
        <f t="shared" si="10"/>
        <v>0.77499999999999991</v>
      </c>
      <c r="R117">
        <f t="shared" si="11"/>
        <v>0</v>
      </c>
    </row>
    <row r="118" spans="15:18" x14ac:dyDescent="0.25">
      <c r="O118" t="s">
        <v>28</v>
      </c>
      <c r="Q118">
        <f t="shared" si="10"/>
        <v>0.755</v>
      </c>
      <c r="R118">
        <f t="shared" si="11"/>
        <v>0</v>
      </c>
    </row>
    <row r="119" spans="15:18" x14ac:dyDescent="0.25">
      <c r="O119" t="s">
        <v>29</v>
      </c>
      <c r="Q119">
        <f t="shared" si="10"/>
        <v>0.71</v>
      </c>
      <c r="R119">
        <f t="shared" si="11"/>
        <v>0</v>
      </c>
    </row>
    <row r="120" spans="15:18" x14ac:dyDescent="0.25">
      <c r="O120" t="s">
        <v>30</v>
      </c>
      <c r="Q120">
        <f t="shared" si="10"/>
        <v>0.66</v>
      </c>
      <c r="R120">
        <f t="shared" si="11"/>
        <v>0</v>
      </c>
    </row>
  </sheetData>
  <mergeCells count="41">
    <mergeCell ref="C81:D81"/>
    <mergeCell ref="C82:D82"/>
    <mergeCell ref="F49:G49"/>
    <mergeCell ref="F50:G50"/>
    <mergeCell ref="C63:D63"/>
    <mergeCell ref="C64:D64"/>
    <mergeCell ref="C65:D65"/>
    <mergeCell ref="C66:D66"/>
    <mergeCell ref="C67:D67"/>
    <mergeCell ref="C50:D50"/>
    <mergeCell ref="C51:D51"/>
    <mergeCell ref="C52:D52"/>
    <mergeCell ref="C53:D53"/>
    <mergeCell ref="C54:D54"/>
    <mergeCell ref="C55:D55"/>
    <mergeCell ref="C56:D56"/>
    <mergeCell ref="C62:D62"/>
    <mergeCell ref="J14:L14"/>
    <mergeCell ref="N14:Q14"/>
    <mergeCell ref="S14:U14"/>
    <mergeCell ref="B49:D49"/>
    <mergeCell ref="B14:D14"/>
    <mergeCell ref="F14:H14"/>
    <mergeCell ref="C57:D57"/>
    <mergeCell ref="C58:D58"/>
    <mergeCell ref="C59:D59"/>
    <mergeCell ref="C60:D60"/>
    <mergeCell ref="C61:D61"/>
    <mergeCell ref="C68:D68"/>
    <mergeCell ref="C69:D69"/>
    <mergeCell ref="C70:D70"/>
    <mergeCell ref="C71:D71"/>
    <mergeCell ref="C72:D72"/>
    <mergeCell ref="C78:D78"/>
    <mergeCell ref="C79:D79"/>
    <mergeCell ref="C80:D80"/>
    <mergeCell ref="C73:D73"/>
    <mergeCell ref="C74:D74"/>
    <mergeCell ref="C75:D75"/>
    <mergeCell ref="C76:D76"/>
    <mergeCell ref="C77:D7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42FC89DFE19B34CAA256E40429AB5B6" ma:contentTypeVersion="10" ma:contentTypeDescription="Create a new document." ma:contentTypeScope="" ma:versionID="5479bc56cb7615b668e799acb2ea610b">
  <xsd:schema xmlns:xsd="http://www.w3.org/2001/XMLSchema" xmlns:xs="http://www.w3.org/2001/XMLSchema" xmlns:p="http://schemas.microsoft.com/office/2006/metadata/properties" xmlns:ns3="fd1e7d60-48f2-4495-a15f-8d84438d34ea" xmlns:ns4="578177ae-631f-4203-9157-fd1364476839" targetNamespace="http://schemas.microsoft.com/office/2006/metadata/properties" ma:root="true" ma:fieldsID="353492534d44292143e30001d9993e6e" ns3:_="" ns4:_="">
    <xsd:import namespace="fd1e7d60-48f2-4495-a15f-8d84438d34ea"/>
    <xsd:import namespace="578177ae-631f-4203-9157-fd1364476839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1e7d60-48f2-4495-a15f-8d84438d34e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78177ae-631f-4203-9157-fd13644768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8EB9544-8741-4516-B189-2552670F1425}">
  <ds:schemaRefs>
    <ds:schemaRef ds:uri="http://schemas.microsoft.com/office/2006/metadata/properties"/>
    <ds:schemaRef ds:uri="http://purl.org/dc/dcmitype/"/>
    <ds:schemaRef ds:uri="http://schemas.microsoft.com/office/2006/documentManagement/types"/>
    <ds:schemaRef ds:uri="fd1e7d60-48f2-4495-a15f-8d84438d34ea"/>
    <ds:schemaRef ds:uri="http://schemas.microsoft.com/office/infopath/2007/PartnerControls"/>
    <ds:schemaRef ds:uri="http://www.w3.org/XML/1998/namespace"/>
    <ds:schemaRef ds:uri="http://purl.org/dc/elements/1.1/"/>
    <ds:schemaRef ds:uri="http://schemas.openxmlformats.org/package/2006/metadata/core-properties"/>
    <ds:schemaRef ds:uri="578177ae-631f-4203-9157-fd1364476839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821F88F1-938E-4E93-98BF-B4B6DEED44E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BBD8E46-85A3-4628-A12B-7A71333D88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d1e7d60-48f2-4495-a15f-8d84438d34ea"/>
    <ds:schemaRef ds:uri="578177ae-631f-4203-9157-fd13644768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HFA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Nault,Carter</dc:creator>
  <cp:lastModifiedBy>Carter LATEATNIGHT</cp:lastModifiedBy>
  <dcterms:created xsi:type="dcterms:W3CDTF">2025-11-18T03:29:55Z</dcterms:created>
  <dcterms:modified xsi:type="dcterms:W3CDTF">2025-12-03T06:39:22Z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0x010100442FC89DFE19B34CAA256E40429AB5B6</vt:lpwstr>
  </property>
</Properties>
</file>