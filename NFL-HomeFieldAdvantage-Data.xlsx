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ita\OneDrive\Desktop\"/>
    </mc:Choice>
  </mc:AlternateContent>
  <xr:revisionPtr revIDLastSave="0" documentId="8_{DC0E8871-6223-4E87-8946-4361D25E48B5}" xr6:coauthVersionLast="47" xr6:coauthVersionMax="47" xr10:uidLastSave="{00000000-0000-0000-0000-000000000000}"/>
  <bookViews>
    <workbookView xWindow="10305" yWindow="0" windowWidth="18600" windowHeight="15585" activeTab="1" xr2:uid="{619BEED8-D55E-4A0C-98CE-0EA2E3CBB23D}"/>
  </bookViews>
  <sheets>
    <sheet name="HF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16" i="2"/>
</calcChain>
</file>

<file path=xl/sharedStrings.xml><?xml version="1.0" encoding="utf-8"?>
<sst xmlns="http://schemas.openxmlformats.org/spreadsheetml/2006/main" count="48" uniqueCount="44">
  <si>
    <t>NFL Teams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</si>
  <si>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</si>
  <si>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</si>
  <si>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</si>
  <si>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</si>
  <si>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</si>
  <si>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</si>
  <si>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</si>
  <si>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</si>
  <si>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</si>
  <si>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Detriot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</si>
  <si>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</si>
  <si>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</si>
  <si>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</si>
  <si>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</si>
  <si>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</si>
  <si>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</si>
  <si>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</si>
  <si>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</si>
  <si>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</si>
  <si>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</si>
  <si>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</si>
  <si>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</si>
  <si>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Jets</t>
  </si>
  <si>
    <t>New York Giants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</si>
  <si>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</si>
  <si>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</si>
  <si>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</si>
  <si>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</si>
  <si>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</si>
  <si>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</si>
  <si>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</si>
  <si>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Wins</t>
  </si>
  <si>
    <t>Losses</t>
  </si>
  <si>
    <t>Ratio</t>
  </si>
  <si>
    <t>Record @ Home since 2002</t>
  </si>
  <si>
    <t>Record @ home 2024</t>
  </si>
  <si>
    <t>Record @ home 2025</t>
  </si>
  <si>
    <t>W</t>
  </si>
  <si>
    <t>L</t>
  </si>
  <si>
    <t xml:space="preserve">Weighted (Past 2 70%,  Since 2002 30%) </t>
  </si>
  <si>
    <t>Since 2002</t>
  </si>
  <si>
    <t>Past 2 Seasons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</si>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</sst>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2528-AC3B-4681-8B5E-DD03BCF861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2BA-E64C-4F7B-A5B9-CF0CCED8B419}">
  <dimension ref="A14:Q46"/>
  <sheetViews>
    <sheetView tabSelected="1" topLeftCell="A9" workbookViewId="0">
      <selection activeCell="R39" sqref="R39"/>
    </sheetView>
  </sheetViews>
  <sheetFormatPr defaultRowHeight="15" x14ac:dyDescent="0.25"/>
  <cols>
    <col min="1" max="1" width="19.85546875" customWidth="1"/>
    <col min="2" max="2" width="13.5703125" customWidth="1"/>
    <col min="14" max="14" width="10" customWidth="1"/>
    <col min="15" max="15" width="14.28515625" customWidth="1"/>
  </cols>
  <sheetData>
    <row r="14" spans="1:17" x14ac:dyDescent="0.25">
      <c r="B14" s="1" t="s">
        <v>35</v>
      </c>
      <c r="C14" s="1"/>
      <c r="D14" s="1"/>
      <c r="F14" s="1" t="s">
        <v>36</v>
      </c>
      <c r="G14" s="1"/>
      <c r="H14" s="1"/>
      <c r="J14" s="1" t="s">
        <v>37</v>
      </c>
      <c r="K14" s="1"/>
      <c r="L14" s="1"/>
      <c r="N14" s="1" t="s">
        <v>40</v>
      </c>
      <c r="O14" s="1"/>
      <c r="P14" s="1"/>
      <c r="Q14" s="1"/>
    </row>
    <row r="15" spans="1:17" x14ac:dyDescent="0.25">
      <c r="A15" t="s">
        <v>0</v>
      </c>
      <c r="B15" t="s">
        <v>32</v>
      </c>
      <c r="C15" t="s">
        <v>33</v>
      </c>
      <c r="D15" t="s">
        <v>34</v>
      </c>
      <c r="F15" t="s">
        <v>32</v>
      </c>
      <c r="G15" t="s">
        <v>33</v>
      </c>
      <c r="H15" t="s">
        <v>34</v>
      </c>
      <c r="J15" t="s">
        <v>38</v>
      </c>
      <c r="K15" t="s">
        <v>39</v>
      </c>
      <c r="L15" t="s">
        <v>34</v>
      </c>
      <c r="N15" t="s">
        <v>41</v>
      </c>
      <c r="O15" t="s">
        <v>42</v>
      </c>
      <c r="P15" t="s">
        <v>43</v>
      </c>
    </row>
    <row r="16" spans="1:17" x14ac:dyDescent="0.25">
      <c r="A16" t="s">
        <v>1</v>
      </c>
      <c r="B16">
        <v>105</v>
      </c>
      <c r="C16">
        <v>86</v>
      </c>
      <c r="D16" s="2">
        <f>B16/(B16+C16)</f>
        <v>0.54973821989528793</v>
      </c>
      <c r="F16">
        <v>4</v>
      </c>
      <c r="G16">
        <v>5</v>
      </c>
      <c r="H16" s="2">
        <f>F16/(F16+G16)</f>
        <v>0.44444444444444442</v>
      </c>
      <c r="J16">
        <v>3</v>
      </c>
      <c r="K16">
        <v>2</v>
      </c>
      <c r="L16" s="2">
        <f>J16/(J16+K16)</f>
        <v>0.6</v>
      </c>
      <c r="N16" s="3">
        <f>D16*0.3</f>
        <v>0.16492146596858637</v>
      </c>
      <c r="O16" s="2">
        <f>((H16+L16)/2)*0.7</f>
        <v>0.36555555555555547</v>
      </c>
      <c r="P16" s="3">
        <f>N16+O16</f>
        <v>0.53047702152414189</v>
      </c>
    </row>
    <row r="17" spans="1:16" x14ac:dyDescent="0.25">
      <c r="A17" t="s">
        <v>2</v>
      </c>
      <c r="B17">
        <v>135</v>
      </c>
      <c r="C17">
        <v>56</v>
      </c>
      <c r="D17" s="2">
        <f t="shared" ref="D17:D46" si="0">B17/(B17+C17)</f>
        <v>0.70680628272251311</v>
      </c>
      <c r="F17">
        <v>6</v>
      </c>
      <c r="G17">
        <v>2</v>
      </c>
      <c r="H17" s="2">
        <f t="shared" ref="H17:H46" si="1">F17/(F17+G17)</f>
        <v>0.75</v>
      </c>
      <c r="J17">
        <v>2</v>
      </c>
      <c r="K17">
        <v>3</v>
      </c>
      <c r="L17" s="2">
        <f t="shared" ref="L17:L46" si="2">J17/(J17+K17)</f>
        <v>0.4</v>
      </c>
      <c r="N17" s="3">
        <f t="shared" ref="N17:N46" si="3">D17*0.3</f>
        <v>0.21204188481675393</v>
      </c>
      <c r="O17" s="2">
        <f t="shared" ref="O17:O46" si="4">((H17+L17)/2)*0.7</f>
        <v>0.40249999999999997</v>
      </c>
      <c r="P17" s="3">
        <f t="shared" ref="P17:P46" si="5">N17+O17</f>
        <v>0.61454188481675387</v>
      </c>
    </row>
    <row r="18" spans="1:16" x14ac:dyDescent="0.25">
      <c r="A18" t="s">
        <v>3</v>
      </c>
      <c r="B18">
        <v>115</v>
      </c>
      <c r="C18">
        <v>77</v>
      </c>
      <c r="D18" s="2">
        <f t="shared" si="0"/>
        <v>0.59895833333333337</v>
      </c>
      <c r="F18">
        <v>8</v>
      </c>
      <c r="G18">
        <v>0</v>
      </c>
      <c r="H18" s="2">
        <f t="shared" si="1"/>
        <v>1</v>
      </c>
      <c r="J18">
        <v>5</v>
      </c>
      <c r="K18">
        <v>1</v>
      </c>
      <c r="L18" s="2">
        <f t="shared" si="2"/>
        <v>0.83333333333333337</v>
      </c>
      <c r="N18" s="3">
        <f t="shared" si="3"/>
        <v>0.1796875</v>
      </c>
      <c r="O18" s="2">
        <f t="shared" si="4"/>
        <v>0.64166666666666672</v>
      </c>
      <c r="P18" s="3">
        <f t="shared" si="5"/>
        <v>0.82135416666666672</v>
      </c>
    </row>
    <row r="19" spans="1:16" x14ac:dyDescent="0.25">
      <c r="A19" t="s">
        <v>4</v>
      </c>
      <c r="B19">
        <v>98</v>
      </c>
      <c r="C19">
        <v>93</v>
      </c>
      <c r="D19" s="2">
        <f t="shared" si="0"/>
        <v>0.51308900523560208</v>
      </c>
      <c r="F19">
        <v>3</v>
      </c>
      <c r="G19">
        <v>6</v>
      </c>
      <c r="H19" s="2">
        <f t="shared" si="1"/>
        <v>0.33333333333333331</v>
      </c>
      <c r="J19">
        <v>3</v>
      </c>
      <c r="K19">
        <v>2</v>
      </c>
      <c r="L19" s="2">
        <f t="shared" si="2"/>
        <v>0.6</v>
      </c>
      <c r="N19" s="3">
        <f t="shared" si="3"/>
        <v>0.15392670157068061</v>
      </c>
      <c r="O19" s="2">
        <f t="shared" si="4"/>
        <v>0.32666666666666666</v>
      </c>
      <c r="P19" s="3">
        <f t="shared" si="5"/>
        <v>0.48059336823734727</v>
      </c>
    </row>
    <row r="20" spans="1:16" x14ac:dyDescent="0.25">
      <c r="A20" t="s">
        <v>5</v>
      </c>
      <c r="B20">
        <v>99</v>
      </c>
      <c r="C20">
        <v>91</v>
      </c>
      <c r="D20" s="2">
        <f t="shared" si="0"/>
        <v>0.52105263157894732</v>
      </c>
      <c r="F20">
        <v>4</v>
      </c>
      <c r="G20">
        <v>5</v>
      </c>
      <c r="H20" s="2">
        <f t="shared" si="1"/>
        <v>0.44444444444444442</v>
      </c>
      <c r="J20">
        <v>3</v>
      </c>
      <c r="K20">
        <v>1</v>
      </c>
      <c r="L20" s="2">
        <f t="shared" si="2"/>
        <v>0.75</v>
      </c>
      <c r="N20" s="3">
        <f t="shared" si="3"/>
        <v>0.15631578947368419</v>
      </c>
      <c r="O20" s="2">
        <f t="shared" si="4"/>
        <v>0.41805555555555551</v>
      </c>
      <c r="P20" s="3">
        <f t="shared" si="5"/>
        <v>0.5743713450292397</v>
      </c>
    </row>
    <row r="21" spans="1:16" x14ac:dyDescent="0.25">
      <c r="A21" t="s">
        <v>6</v>
      </c>
      <c r="B21">
        <v>103</v>
      </c>
      <c r="C21">
        <v>84</v>
      </c>
      <c r="D21" s="2">
        <f t="shared" si="0"/>
        <v>0.55080213903743314</v>
      </c>
      <c r="F21">
        <v>3</v>
      </c>
      <c r="G21">
        <v>5</v>
      </c>
      <c r="H21" s="2">
        <f t="shared" si="1"/>
        <v>0.375</v>
      </c>
      <c r="J21">
        <v>2</v>
      </c>
      <c r="K21">
        <v>3</v>
      </c>
      <c r="L21" s="2">
        <f t="shared" si="2"/>
        <v>0.4</v>
      </c>
      <c r="N21" s="3">
        <f t="shared" si="3"/>
        <v>0.16524064171122993</v>
      </c>
      <c r="O21" s="2">
        <f t="shared" si="4"/>
        <v>0.27124999999999999</v>
      </c>
      <c r="P21" s="3">
        <f t="shared" si="5"/>
        <v>0.43649064171122992</v>
      </c>
    </row>
    <row r="22" spans="1:16" x14ac:dyDescent="0.25">
      <c r="A22" t="s">
        <v>7</v>
      </c>
      <c r="B22">
        <v>82</v>
      </c>
      <c r="C22">
        <v>108</v>
      </c>
      <c r="D22" s="2">
        <f t="shared" si="0"/>
        <v>0.43157894736842106</v>
      </c>
      <c r="F22">
        <v>2</v>
      </c>
      <c r="G22">
        <v>6</v>
      </c>
      <c r="H22" s="2">
        <f t="shared" si="1"/>
        <v>0.25</v>
      </c>
      <c r="J22">
        <v>2</v>
      </c>
      <c r="K22">
        <v>3</v>
      </c>
      <c r="L22" s="2">
        <f t="shared" si="2"/>
        <v>0.4</v>
      </c>
      <c r="N22" s="3">
        <f t="shared" si="3"/>
        <v>0.12947368421052632</v>
      </c>
      <c r="O22" s="2">
        <f t="shared" si="4"/>
        <v>0.22749999999999998</v>
      </c>
      <c r="P22" s="3">
        <f t="shared" si="5"/>
        <v>0.35697368421052633</v>
      </c>
    </row>
    <row r="23" spans="1:16" x14ac:dyDescent="0.25">
      <c r="A23" t="s">
        <v>8</v>
      </c>
      <c r="B23">
        <v>113</v>
      </c>
      <c r="C23">
        <v>76</v>
      </c>
      <c r="D23" s="2">
        <f t="shared" si="0"/>
        <v>0.59788359788359791</v>
      </c>
      <c r="F23">
        <v>2</v>
      </c>
      <c r="G23">
        <v>7</v>
      </c>
      <c r="H23" s="2">
        <f t="shared" si="1"/>
        <v>0.22222222222222221</v>
      </c>
      <c r="J23">
        <v>2</v>
      </c>
      <c r="K23">
        <v>1</v>
      </c>
      <c r="L23" s="2">
        <f t="shared" si="2"/>
        <v>0.66666666666666663</v>
      </c>
      <c r="N23" s="3">
        <f t="shared" si="3"/>
        <v>0.17936507936507937</v>
      </c>
      <c r="O23" s="2">
        <f t="shared" si="4"/>
        <v>0.31111111111111106</v>
      </c>
      <c r="P23" s="3">
        <f t="shared" si="5"/>
        <v>0.4904761904761904</v>
      </c>
    </row>
    <row r="24" spans="1:16" x14ac:dyDescent="0.25">
      <c r="A24" t="s">
        <v>9</v>
      </c>
      <c r="B24">
        <v>120</v>
      </c>
      <c r="C24">
        <v>72</v>
      </c>
      <c r="D24" s="2">
        <f t="shared" si="0"/>
        <v>0.625</v>
      </c>
      <c r="F24">
        <v>6</v>
      </c>
      <c r="G24">
        <v>2</v>
      </c>
      <c r="H24" s="2">
        <f t="shared" si="1"/>
        <v>0.75</v>
      </c>
      <c r="J24">
        <v>6</v>
      </c>
      <c r="K24">
        <v>0</v>
      </c>
      <c r="L24" s="2">
        <f t="shared" si="2"/>
        <v>1</v>
      </c>
      <c r="N24" s="3">
        <f t="shared" si="3"/>
        <v>0.1875</v>
      </c>
      <c r="O24" s="2">
        <f t="shared" si="4"/>
        <v>0.61249999999999993</v>
      </c>
      <c r="P24" s="3">
        <f t="shared" si="5"/>
        <v>0.79999999999999993</v>
      </c>
    </row>
    <row r="25" spans="1:16" x14ac:dyDescent="0.25">
      <c r="A25" t="s">
        <v>10</v>
      </c>
      <c r="B25">
        <v>89</v>
      </c>
      <c r="C25">
        <v>101</v>
      </c>
      <c r="D25" s="2">
        <f t="shared" si="0"/>
        <v>0.46842105263157896</v>
      </c>
      <c r="F25">
        <v>7</v>
      </c>
      <c r="G25">
        <v>2</v>
      </c>
      <c r="H25" s="2">
        <f t="shared" si="1"/>
        <v>0.77777777777777779</v>
      </c>
      <c r="J25">
        <v>3</v>
      </c>
      <c r="K25">
        <v>1</v>
      </c>
      <c r="L25" s="2">
        <f t="shared" si="2"/>
        <v>0.75</v>
      </c>
      <c r="N25" s="3">
        <f t="shared" si="3"/>
        <v>0.14052631578947369</v>
      </c>
      <c r="O25" s="2">
        <f t="shared" si="4"/>
        <v>0.5347222222222221</v>
      </c>
      <c r="P25" s="3">
        <f t="shared" si="5"/>
        <v>0.67524853801169582</v>
      </c>
    </row>
    <row r="26" spans="1:16" x14ac:dyDescent="0.25">
      <c r="A26" t="s">
        <v>11</v>
      </c>
      <c r="B26">
        <v>135</v>
      </c>
      <c r="C26">
        <v>54</v>
      </c>
      <c r="D26" s="2">
        <f t="shared" si="0"/>
        <v>0.7142857142857143</v>
      </c>
      <c r="F26">
        <v>6</v>
      </c>
      <c r="G26">
        <v>3</v>
      </c>
      <c r="H26" s="2">
        <f t="shared" si="1"/>
        <v>0.66666666666666663</v>
      </c>
      <c r="J26">
        <v>3</v>
      </c>
      <c r="K26">
        <v>2</v>
      </c>
      <c r="L26" s="2">
        <f t="shared" si="2"/>
        <v>0.6</v>
      </c>
      <c r="N26" s="3">
        <f t="shared" si="3"/>
        <v>0.21428571428571427</v>
      </c>
      <c r="O26" s="2">
        <f t="shared" si="4"/>
        <v>0.4433333333333333</v>
      </c>
      <c r="P26" s="3">
        <f t="shared" si="5"/>
        <v>0.65761904761904755</v>
      </c>
    </row>
    <row r="27" spans="1:16" x14ac:dyDescent="0.25">
      <c r="A27" t="s">
        <v>12</v>
      </c>
      <c r="B27">
        <v>95</v>
      </c>
      <c r="C27">
        <v>95</v>
      </c>
      <c r="D27" s="2">
        <f t="shared" si="0"/>
        <v>0.5</v>
      </c>
      <c r="F27">
        <v>5</v>
      </c>
      <c r="G27">
        <v>3</v>
      </c>
      <c r="H27" s="2">
        <f t="shared" si="1"/>
        <v>0.625</v>
      </c>
      <c r="J27">
        <v>3</v>
      </c>
      <c r="K27">
        <v>2</v>
      </c>
      <c r="L27" s="2">
        <f t="shared" si="2"/>
        <v>0.6</v>
      </c>
      <c r="N27" s="3">
        <f t="shared" si="3"/>
        <v>0.15</v>
      </c>
      <c r="O27" s="2">
        <f t="shared" si="4"/>
        <v>0.42875000000000002</v>
      </c>
      <c r="P27" s="3">
        <f t="shared" si="5"/>
        <v>0.57874999999999999</v>
      </c>
    </row>
    <row r="28" spans="1:16" x14ac:dyDescent="0.25">
      <c r="A28" t="s">
        <v>13</v>
      </c>
      <c r="B28">
        <v>127</v>
      </c>
      <c r="C28">
        <v>65</v>
      </c>
      <c r="D28" s="2">
        <f t="shared" si="0"/>
        <v>0.66145833333333337</v>
      </c>
      <c r="F28">
        <v>5</v>
      </c>
      <c r="G28">
        <v>3</v>
      </c>
      <c r="H28" s="2">
        <f t="shared" si="1"/>
        <v>0.625</v>
      </c>
      <c r="J28">
        <v>6</v>
      </c>
      <c r="K28">
        <v>0</v>
      </c>
      <c r="L28" s="2">
        <f t="shared" si="2"/>
        <v>1</v>
      </c>
      <c r="N28" s="3">
        <f t="shared" si="3"/>
        <v>0.19843750000000002</v>
      </c>
      <c r="O28" s="2">
        <f t="shared" si="4"/>
        <v>0.56874999999999998</v>
      </c>
      <c r="P28" s="3">
        <f t="shared" si="5"/>
        <v>0.76718750000000002</v>
      </c>
    </row>
    <row r="29" spans="1:16" x14ac:dyDescent="0.25">
      <c r="A29" t="s">
        <v>14</v>
      </c>
      <c r="B29">
        <v>89</v>
      </c>
      <c r="C29">
        <v>103</v>
      </c>
      <c r="D29" s="2">
        <f t="shared" si="0"/>
        <v>0.46354166666666669</v>
      </c>
      <c r="F29">
        <v>3</v>
      </c>
      <c r="G29">
        <v>5</v>
      </c>
      <c r="H29" s="2">
        <f t="shared" si="1"/>
        <v>0.375</v>
      </c>
      <c r="J29">
        <v>4</v>
      </c>
      <c r="K29">
        <v>2</v>
      </c>
      <c r="L29" s="2">
        <f t="shared" si="2"/>
        <v>0.66666666666666663</v>
      </c>
      <c r="N29" s="3">
        <f t="shared" si="3"/>
        <v>0.13906250000000001</v>
      </c>
      <c r="O29" s="2">
        <f t="shared" si="4"/>
        <v>0.36458333333333326</v>
      </c>
      <c r="P29" s="3">
        <f t="shared" si="5"/>
        <v>0.50364583333333324</v>
      </c>
    </row>
    <row r="30" spans="1:16" x14ac:dyDescent="0.25">
      <c r="A30" t="s">
        <v>15</v>
      </c>
      <c r="B30">
        <v>124</v>
      </c>
      <c r="C30">
        <v>67</v>
      </c>
      <c r="D30" s="2">
        <f t="shared" si="0"/>
        <v>0.64921465968586389</v>
      </c>
      <c r="F30">
        <v>8</v>
      </c>
      <c r="G30">
        <v>0</v>
      </c>
      <c r="H30" s="2">
        <f t="shared" si="1"/>
        <v>1</v>
      </c>
      <c r="J30">
        <v>4</v>
      </c>
      <c r="K30">
        <v>1</v>
      </c>
      <c r="L30" s="2">
        <f t="shared" si="2"/>
        <v>0.8</v>
      </c>
      <c r="N30" s="3">
        <f t="shared" si="3"/>
        <v>0.19476439790575917</v>
      </c>
      <c r="O30" s="2">
        <f t="shared" si="4"/>
        <v>0.63</v>
      </c>
      <c r="P30" s="3">
        <f t="shared" si="5"/>
        <v>0.82476439790575917</v>
      </c>
    </row>
    <row r="31" spans="1:16" x14ac:dyDescent="0.25">
      <c r="A31" t="s">
        <v>16</v>
      </c>
      <c r="B31">
        <v>81</v>
      </c>
      <c r="C31">
        <v>109</v>
      </c>
      <c r="D31" s="2">
        <f t="shared" si="0"/>
        <v>0.4263157894736842</v>
      </c>
      <c r="F31">
        <v>2</v>
      </c>
      <c r="G31">
        <v>6</v>
      </c>
      <c r="H31" s="2">
        <f t="shared" si="1"/>
        <v>0.25</v>
      </c>
      <c r="J31">
        <v>1</v>
      </c>
      <c r="K31">
        <v>3</v>
      </c>
      <c r="L31" s="2">
        <f t="shared" si="2"/>
        <v>0.25</v>
      </c>
      <c r="N31" s="3">
        <f t="shared" si="3"/>
        <v>0.12789473684210526</v>
      </c>
      <c r="O31" s="2">
        <f t="shared" si="4"/>
        <v>0.17499999999999999</v>
      </c>
      <c r="P31" s="3">
        <f t="shared" si="5"/>
        <v>0.30289473684210522</v>
      </c>
    </row>
    <row r="32" spans="1:16" x14ac:dyDescent="0.25">
      <c r="A32" t="s">
        <v>17</v>
      </c>
      <c r="B32">
        <v>111</v>
      </c>
      <c r="C32">
        <v>81</v>
      </c>
      <c r="D32" s="2">
        <f t="shared" si="0"/>
        <v>0.578125</v>
      </c>
      <c r="F32">
        <v>5</v>
      </c>
      <c r="G32">
        <v>3</v>
      </c>
      <c r="H32" s="2">
        <f t="shared" si="1"/>
        <v>0.625</v>
      </c>
      <c r="J32">
        <v>4</v>
      </c>
      <c r="K32">
        <v>2</v>
      </c>
      <c r="L32" s="2">
        <f t="shared" si="2"/>
        <v>0.66666666666666663</v>
      </c>
      <c r="N32" s="3">
        <f t="shared" si="3"/>
        <v>0.17343749999999999</v>
      </c>
      <c r="O32" s="2">
        <f t="shared" si="4"/>
        <v>0.45208333333333323</v>
      </c>
      <c r="P32" s="3">
        <f t="shared" si="5"/>
        <v>0.62552083333333319</v>
      </c>
    </row>
    <row r="33" spans="1:16" x14ac:dyDescent="0.25">
      <c r="A33" t="s">
        <v>18</v>
      </c>
      <c r="B33">
        <v>98</v>
      </c>
      <c r="C33">
        <v>93</v>
      </c>
      <c r="D33" s="2">
        <f t="shared" si="0"/>
        <v>0.51308900523560208</v>
      </c>
      <c r="F33">
        <v>5</v>
      </c>
      <c r="G33">
        <v>4</v>
      </c>
      <c r="H33" s="2">
        <f t="shared" si="1"/>
        <v>0.55555555555555558</v>
      </c>
      <c r="J33">
        <v>4</v>
      </c>
      <c r="K33">
        <v>1</v>
      </c>
      <c r="L33" s="2">
        <f t="shared" si="2"/>
        <v>0.8</v>
      </c>
      <c r="N33" s="3">
        <f t="shared" si="3"/>
        <v>0.15392670157068061</v>
      </c>
      <c r="O33" s="2">
        <f t="shared" si="4"/>
        <v>0.47444444444444445</v>
      </c>
      <c r="P33" s="3">
        <f t="shared" si="5"/>
        <v>0.62837114601512511</v>
      </c>
    </row>
    <row r="34" spans="1:16" x14ac:dyDescent="0.25">
      <c r="A34" t="s">
        <v>19</v>
      </c>
      <c r="B34">
        <v>105</v>
      </c>
      <c r="C34">
        <v>87</v>
      </c>
      <c r="D34" s="2">
        <f t="shared" si="0"/>
        <v>0.546875</v>
      </c>
      <c r="F34">
        <v>5</v>
      </c>
      <c r="G34">
        <v>3</v>
      </c>
      <c r="H34" s="2">
        <f t="shared" si="1"/>
        <v>0.625</v>
      </c>
      <c r="J34">
        <v>3</v>
      </c>
      <c r="K34">
        <v>3</v>
      </c>
      <c r="L34" s="2">
        <f t="shared" si="2"/>
        <v>0.5</v>
      </c>
      <c r="N34" s="3">
        <f t="shared" si="3"/>
        <v>0.1640625</v>
      </c>
      <c r="O34" s="2">
        <f t="shared" si="4"/>
        <v>0.39374999999999999</v>
      </c>
      <c r="P34" s="3">
        <f t="shared" si="5"/>
        <v>0.55781250000000004</v>
      </c>
    </row>
    <row r="35" spans="1:16" x14ac:dyDescent="0.25">
      <c r="A35" t="s">
        <v>20</v>
      </c>
      <c r="B35">
        <v>121</v>
      </c>
      <c r="C35">
        <v>70</v>
      </c>
      <c r="D35" s="2">
        <f t="shared" si="0"/>
        <v>0.63350785340314131</v>
      </c>
      <c r="F35">
        <v>8</v>
      </c>
      <c r="G35">
        <v>1</v>
      </c>
      <c r="H35" s="2">
        <f t="shared" si="1"/>
        <v>0.88888888888888884</v>
      </c>
      <c r="J35">
        <v>1</v>
      </c>
      <c r="K35">
        <v>4</v>
      </c>
      <c r="L35" s="2">
        <f t="shared" si="2"/>
        <v>0.2</v>
      </c>
      <c r="N35" s="3">
        <f t="shared" si="3"/>
        <v>0.19005235602094239</v>
      </c>
      <c r="O35" s="2">
        <f t="shared" si="4"/>
        <v>0.38111111111111107</v>
      </c>
      <c r="P35" s="3">
        <f t="shared" si="5"/>
        <v>0.57116346713205346</v>
      </c>
    </row>
    <row r="36" spans="1:16" x14ac:dyDescent="0.25">
      <c r="A36" t="s">
        <v>21</v>
      </c>
      <c r="B36">
        <v>141</v>
      </c>
      <c r="C36">
        <v>51</v>
      </c>
      <c r="D36" s="2">
        <f t="shared" si="0"/>
        <v>0.734375</v>
      </c>
      <c r="F36">
        <v>2</v>
      </c>
      <c r="G36">
        <v>6</v>
      </c>
      <c r="H36" s="2">
        <f t="shared" si="1"/>
        <v>0.25</v>
      </c>
      <c r="J36">
        <v>4</v>
      </c>
      <c r="K36">
        <v>2</v>
      </c>
      <c r="L36" s="2">
        <f t="shared" si="2"/>
        <v>0.66666666666666663</v>
      </c>
      <c r="N36" s="3">
        <f t="shared" si="3"/>
        <v>0.22031249999999999</v>
      </c>
      <c r="O36" s="2">
        <f t="shared" si="4"/>
        <v>0.3208333333333333</v>
      </c>
      <c r="P36" s="3">
        <f t="shared" si="5"/>
        <v>0.54114583333333333</v>
      </c>
    </row>
    <row r="37" spans="1:16" x14ac:dyDescent="0.25">
      <c r="A37" t="s">
        <v>22</v>
      </c>
      <c r="B37">
        <v>109</v>
      </c>
      <c r="C37">
        <v>82</v>
      </c>
      <c r="D37" s="2">
        <f t="shared" si="0"/>
        <v>0.5706806282722513</v>
      </c>
      <c r="F37">
        <v>3</v>
      </c>
      <c r="G37">
        <v>6</v>
      </c>
      <c r="H37" s="2">
        <f t="shared" si="1"/>
        <v>0.33333333333333331</v>
      </c>
      <c r="J37">
        <v>1</v>
      </c>
      <c r="K37">
        <v>4</v>
      </c>
      <c r="L37" s="2">
        <f t="shared" si="2"/>
        <v>0.2</v>
      </c>
      <c r="N37" s="3">
        <f t="shared" si="3"/>
        <v>0.17120418848167537</v>
      </c>
      <c r="O37" s="2">
        <f t="shared" si="4"/>
        <v>0.18666666666666665</v>
      </c>
      <c r="P37" s="3">
        <f t="shared" si="5"/>
        <v>0.35787085514834205</v>
      </c>
    </row>
    <row r="38" spans="1:16" x14ac:dyDescent="0.25">
      <c r="A38" t="s">
        <v>24</v>
      </c>
      <c r="B38">
        <v>89</v>
      </c>
      <c r="C38">
        <v>101</v>
      </c>
      <c r="D38" s="2">
        <f t="shared" si="0"/>
        <v>0.46842105263157896</v>
      </c>
      <c r="F38">
        <v>1</v>
      </c>
      <c r="G38">
        <v>8</v>
      </c>
      <c r="H38" s="2">
        <f t="shared" si="1"/>
        <v>0.1111111111111111</v>
      </c>
      <c r="J38">
        <v>2</v>
      </c>
      <c r="K38">
        <v>3</v>
      </c>
      <c r="L38" s="2">
        <f t="shared" si="2"/>
        <v>0.4</v>
      </c>
      <c r="N38" s="3">
        <f t="shared" si="3"/>
        <v>0.14052631578947369</v>
      </c>
      <c r="O38" s="2">
        <f t="shared" si="4"/>
        <v>0.17888888888888888</v>
      </c>
      <c r="P38" s="3">
        <f t="shared" si="5"/>
        <v>0.3194152046783626</v>
      </c>
    </row>
    <row r="39" spans="1:16" x14ac:dyDescent="0.25">
      <c r="A39" t="s">
        <v>23</v>
      </c>
      <c r="B39">
        <v>91</v>
      </c>
      <c r="C39">
        <v>101</v>
      </c>
      <c r="D39" s="2">
        <f t="shared" si="0"/>
        <v>0.47395833333333331</v>
      </c>
      <c r="F39">
        <v>3</v>
      </c>
      <c r="G39">
        <v>5</v>
      </c>
      <c r="H39" s="2">
        <f t="shared" si="1"/>
        <v>0.375</v>
      </c>
      <c r="J39">
        <v>1</v>
      </c>
      <c r="K39">
        <v>5</v>
      </c>
      <c r="L39" s="2">
        <f t="shared" si="2"/>
        <v>0.16666666666666666</v>
      </c>
      <c r="N39" s="3">
        <f t="shared" si="3"/>
        <v>0.14218749999999999</v>
      </c>
      <c r="O39" s="2">
        <f t="shared" si="4"/>
        <v>0.1895833333333333</v>
      </c>
      <c r="P39" s="3">
        <f t="shared" si="5"/>
        <v>0.33177083333333329</v>
      </c>
    </row>
    <row r="40" spans="1:16" x14ac:dyDescent="0.25">
      <c r="A40" t="s">
        <v>25</v>
      </c>
      <c r="B40">
        <v>119</v>
      </c>
      <c r="C40">
        <v>71</v>
      </c>
      <c r="D40" s="2">
        <f t="shared" si="0"/>
        <v>0.62631578947368416</v>
      </c>
      <c r="F40">
        <v>8</v>
      </c>
      <c r="G40">
        <v>1</v>
      </c>
      <c r="H40" s="2">
        <f t="shared" si="1"/>
        <v>0.88888888888888884</v>
      </c>
      <c r="J40">
        <v>4</v>
      </c>
      <c r="K40">
        <v>1</v>
      </c>
      <c r="L40" s="2">
        <f t="shared" si="2"/>
        <v>0.8</v>
      </c>
      <c r="N40" s="3">
        <f t="shared" si="3"/>
        <v>0.18789473684210525</v>
      </c>
      <c r="O40" s="2">
        <f t="shared" si="4"/>
        <v>0.59111111111111103</v>
      </c>
      <c r="P40" s="3">
        <f t="shared" si="5"/>
        <v>0.77900584795321626</v>
      </c>
    </row>
    <row r="41" spans="1:16" x14ac:dyDescent="0.25">
      <c r="A41" t="s">
        <v>26</v>
      </c>
      <c r="B41">
        <v>133</v>
      </c>
      <c r="C41">
        <v>57</v>
      </c>
      <c r="D41" s="2">
        <f t="shared" si="0"/>
        <v>0.7</v>
      </c>
      <c r="F41">
        <v>5</v>
      </c>
      <c r="G41">
        <v>3</v>
      </c>
      <c r="H41" s="2">
        <f t="shared" si="1"/>
        <v>0.625</v>
      </c>
      <c r="J41">
        <v>4</v>
      </c>
      <c r="K41">
        <v>2</v>
      </c>
      <c r="L41" s="2">
        <f t="shared" si="2"/>
        <v>0.66666666666666663</v>
      </c>
      <c r="N41" s="3">
        <f t="shared" si="3"/>
        <v>0.21</v>
      </c>
      <c r="O41" s="2">
        <f t="shared" si="4"/>
        <v>0.45208333333333323</v>
      </c>
      <c r="P41" s="3">
        <f t="shared" si="5"/>
        <v>0.66208333333333325</v>
      </c>
    </row>
    <row r="42" spans="1:16" x14ac:dyDescent="0.25">
      <c r="A42" t="s">
        <v>27</v>
      </c>
      <c r="B42">
        <v>102</v>
      </c>
      <c r="C42">
        <v>87</v>
      </c>
      <c r="D42" s="2">
        <f t="shared" si="0"/>
        <v>0.53968253968253965</v>
      </c>
      <c r="F42">
        <v>4</v>
      </c>
      <c r="G42">
        <v>5</v>
      </c>
      <c r="H42" s="2">
        <f t="shared" si="1"/>
        <v>0.44444444444444442</v>
      </c>
      <c r="J42">
        <v>2</v>
      </c>
      <c r="K42">
        <v>2</v>
      </c>
      <c r="L42" s="2">
        <f t="shared" si="2"/>
        <v>0.5</v>
      </c>
      <c r="N42" s="3">
        <f t="shared" si="3"/>
        <v>0.16190476190476188</v>
      </c>
      <c r="O42" s="2">
        <f t="shared" si="4"/>
        <v>0.33055555555555555</v>
      </c>
      <c r="P42" s="3">
        <f t="shared" si="5"/>
        <v>0.49246031746031743</v>
      </c>
    </row>
    <row r="43" spans="1:16" x14ac:dyDescent="0.25">
      <c r="A43" t="s">
        <v>28</v>
      </c>
      <c r="B43">
        <v>125</v>
      </c>
      <c r="C43">
        <v>66</v>
      </c>
      <c r="D43" s="2">
        <f t="shared" si="0"/>
        <v>0.65445026178010468</v>
      </c>
      <c r="F43">
        <v>3</v>
      </c>
      <c r="G43">
        <v>6</v>
      </c>
      <c r="H43" s="2">
        <f t="shared" si="1"/>
        <v>0.33333333333333331</v>
      </c>
      <c r="J43">
        <v>3</v>
      </c>
      <c r="K43">
        <v>2</v>
      </c>
      <c r="L43" s="2">
        <f t="shared" si="2"/>
        <v>0.6</v>
      </c>
      <c r="N43" s="3">
        <f t="shared" si="3"/>
        <v>0.1963350785340314</v>
      </c>
      <c r="O43" s="2">
        <f t="shared" si="4"/>
        <v>0.32666666666666666</v>
      </c>
      <c r="P43" s="3">
        <f t="shared" si="5"/>
        <v>0.52300174520069809</v>
      </c>
    </row>
    <row r="44" spans="1:16" x14ac:dyDescent="0.25">
      <c r="A44" t="s">
        <v>29</v>
      </c>
      <c r="B44">
        <v>93</v>
      </c>
      <c r="C44">
        <v>97</v>
      </c>
      <c r="D44" s="2">
        <f t="shared" si="0"/>
        <v>0.48947368421052634</v>
      </c>
      <c r="F44">
        <v>5</v>
      </c>
      <c r="G44">
        <v>4</v>
      </c>
      <c r="H44" s="2">
        <f t="shared" si="1"/>
        <v>0.55555555555555558</v>
      </c>
      <c r="J44">
        <v>2</v>
      </c>
      <c r="K44">
        <v>2</v>
      </c>
      <c r="L44" s="2">
        <f t="shared" si="2"/>
        <v>0.5</v>
      </c>
      <c r="N44" s="3">
        <f t="shared" si="3"/>
        <v>0.14684210526315788</v>
      </c>
      <c r="O44" s="2">
        <f t="shared" si="4"/>
        <v>0.36944444444444441</v>
      </c>
      <c r="P44" s="3">
        <f t="shared" si="5"/>
        <v>0.51628654970760235</v>
      </c>
    </row>
    <row r="45" spans="1:16" x14ac:dyDescent="0.25">
      <c r="A45" t="s">
        <v>30</v>
      </c>
      <c r="B45">
        <v>98</v>
      </c>
      <c r="C45">
        <v>93</v>
      </c>
      <c r="D45" s="2">
        <f t="shared" si="0"/>
        <v>0.51308900523560208</v>
      </c>
      <c r="F45">
        <v>1</v>
      </c>
      <c r="G45">
        <v>7</v>
      </c>
      <c r="H45" s="2">
        <f t="shared" si="1"/>
        <v>0.125</v>
      </c>
      <c r="J45">
        <v>3</v>
      </c>
      <c r="K45">
        <v>2</v>
      </c>
      <c r="L45" s="2">
        <f t="shared" si="2"/>
        <v>0.6</v>
      </c>
      <c r="N45" s="3">
        <f t="shared" si="3"/>
        <v>0.15392670157068061</v>
      </c>
      <c r="O45" s="2">
        <f t="shared" si="4"/>
        <v>0.25374999999999998</v>
      </c>
      <c r="P45" s="3">
        <f t="shared" si="5"/>
        <v>0.40767670157068059</v>
      </c>
    </row>
    <row r="46" spans="1:16" x14ac:dyDescent="0.25">
      <c r="A46" t="s">
        <v>31</v>
      </c>
      <c r="B46">
        <v>85</v>
      </c>
      <c r="C46">
        <v>106</v>
      </c>
      <c r="D46" s="2">
        <f t="shared" si="0"/>
        <v>0.44502617801047123</v>
      </c>
      <c r="F46">
        <v>7</v>
      </c>
      <c r="G46">
        <v>2</v>
      </c>
      <c r="H46" s="2">
        <f t="shared" si="1"/>
        <v>0.77777777777777779</v>
      </c>
      <c r="J46">
        <v>2</v>
      </c>
      <c r="K46">
        <v>3</v>
      </c>
      <c r="L46" s="2">
        <f t="shared" si="2"/>
        <v>0.4</v>
      </c>
      <c r="N46" s="3">
        <f t="shared" si="3"/>
        <v>0.13350785340314136</v>
      </c>
      <c r="O46" s="2">
        <f t="shared" si="4"/>
        <v>0.41222222222222221</v>
      </c>
      <c r="P46" s="3">
        <f t="shared" si="5"/>
        <v>0.54573007562536358</v>
      </c>
    </row>
  </sheetData>
  <mergeCells count="4">
    <mergeCell ref="B14:D14"/>
    <mergeCell ref="F14:H14"/>
    <mergeCell ref="J14:L14"/>
    <mergeCell ref="N14:Q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FC89DFE19B34CAA256E40429AB5B6" ma:contentTypeVersion="10" ma:contentTypeDescription="Create a new document." ma:contentTypeScope="" ma:versionID="5479bc56cb7615b668e799acb2ea610b">
  <xsd:schema xmlns:xsd="http://www.w3.org/2001/XMLSchema" xmlns:xs="http://www.w3.org/2001/XMLSchema" xmlns:p="http://schemas.microsoft.com/office/2006/metadata/properties" xmlns:ns3="fd1e7d60-48f2-4495-a15f-8d84438d34ea" xmlns:ns4="578177ae-631f-4203-9157-fd1364476839" targetNamespace="http://schemas.microsoft.com/office/2006/metadata/properties" ma:root="true" ma:fieldsID="353492534d44292143e30001d9993e6e" ns3:_="" ns4:_="">
    <xsd:import namespace="fd1e7d60-48f2-4495-a15f-8d84438d34ea"/>
    <xsd:import namespace="578177ae-631f-4203-9157-fd136447683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e7d60-48f2-4495-a15f-8d84438d3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177ae-631f-4203-9157-fd1364476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BD8E46-85A3-4628-A12B-7A71333D8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e7d60-48f2-4495-a15f-8d84438d34ea"/>
    <ds:schemaRef ds:uri="578177ae-631f-4203-9157-fd1364476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1F88F1-938E-4E93-98BF-B4B6DEED4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EB9544-8741-4516-B189-2552670F1425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fd1e7d60-48f2-4495-a15f-8d84438d34ea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578177ae-631f-4203-9157-fd13644768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HFA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Nault,Carter</dc:creator>
  <cp:lastModifiedBy>Nault,Carter</cp:lastModifiedBy>
  <dcterms:created xsi:type="dcterms:W3CDTF">2025-11-18T03:29:55Z</dcterms:created>
  <dcterms:modified xsi:type="dcterms:W3CDTF">2025-11-18T04:28:47Z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0x010100442FC89DFE19B34CAA256E40429AB5B6</vt:lpwstr>
  </property>
</Properties>
</file>